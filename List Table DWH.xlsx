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ticorp-my.sharepoint.com/personal/avc1899_corp_jti_com/Documents/Documents/"/>
    </mc:Choice>
  </mc:AlternateContent>
  <xr:revisionPtr revIDLastSave="128" documentId="8_{FCC4CEA7-0A96-4A6E-A713-2E3787D269B9}" xr6:coauthVersionLast="47" xr6:coauthVersionMax="47" xr10:uidLastSave="{E6A2E980-9E45-49C1-B40D-F79E17F106D6}"/>
  <bookViews>
    <workbookView xWindow="-96" yWindow="-96" windowWidth="23232" windowHeight="12432" xr2:uid="{2ED405B7-26F6-40FB-805E-1F97C9AE079D}"/>
  </bookViews>
  <sheets>
    <sheet name="Sheet1" sheetId="1" r:id="rId1"/>
  </sheets>
  <definedNames>
    <definedName name="_xlnm._FilterDatabase" localSheetId="0" hidden="1">Sheet1!$A$1:$I$423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35" i="1" l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6" i="1"/>
  <c r="G404" i="1"/>
  <c r="G402" i="1"/>
  <c r="G400" i="1"/>
  <c r="G398" i="1"/>
  <c r="G396" i="1"/>
  <c r="G394" i="1"/>
  <c r="G392" i="1"/>
  <c r="G390" i="1"/>
  <c r="G388" i="1"/>
  <c r="G386" i="1"/>
  <c r="G384" i="1"/>
  <c r="G383" i="1"/>
  <c r="G380" i="1"/>
  <c r="G379" i="1"/>
  <c r="G376" i="1"/>
  <c r="G374" i="1"/>
  <c r="G372" i="1"/>
  <c r="G370" i="1"/>
  <c r="G368" i="1"/>
  <c r="G366" i="1"/>
  <c r="G364" i="1"/>
  <c r="G362" i="1"/>
  <c r="G361" i="1"/>
  <c r="G358" i="1"/>
  <c r="G356" i="1"/>
  <c r="G354" i="1"/>
  <c r="G353" i="1"/>
  <c r="G351" i="1"/>
  <c r="G348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316" i="1"/>
  <c r="G308" i="1"/>
  <c r="G306" i="1"/>
  <c r="G304" i="1"/>
  <c r="G302" i="1"/>
  <c r="G300" i="1"/>
  <c r="G296" i="1"/>
  <c r="G291" i="1"/>
  <c r="G246" i="1"/>
  <c r="G237" i="1"/>
  <c r="G230" i="1"/>
  <c r="G218" i="1"/>
  <c r="G214" i="1"/>
  <c r="G276" i="1"/>
  <c r="G194" i="1"/>
  <c r="G192" i="1"/>
  <c r="G275" i="1"/>
  <c r="G190" i="1"/>
  <c r="G189" i="1"/>
  <c r="G177" i="1"/>
  <c r="G176" i="1"/>
  <c r="G89" i="1"/>
  <c r="G172" i="1"/>
  <c r="G88" i="1"/>
  <c r="G82" i="1"/>
  <c r="G81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30" i="1"/>
  <c r="G329" i="1"/>
  <c r="G28" i="1"/>
  <c r="G12" i="1"/>
  <c r="G273" i="1"/>
  <c r="G153" i="1"/>
  <c r="G151" i="1"/>
  <c r="G150" i="1"/>
  <c r="G269" i="1"/>
  <c r="G132" i="1"/>
  <c r="G127" i="1"/>
  <c r="G120" i="1"/>
  <c r="G106" i="1"/>
  <c r="G105" i="1"/>
  <c r="G161" i="1"/>
  <c r="G140" i="1"/>
  <c r="G407" i="1"/>
  <c r="G405" i="1"/>
  <c r="G403" i="1"/>
  <c r="G401" i="1"/>
  <c r="G399" i="1"/>
  <c r="G397" i="1"/>
  <c r="G395" i="1"/>
  <c r="G393" i="1"/>
  <c r="G391" i="1"/>
  <c r="G389" i="1"/>
  <c r="G387" i="1"/>
  <c r="G385" i="1"/>
  <c r="G382" i="1"/>
  <c r="G381" i="1"/>
  <c r="G378" i="1"/>
  <c r="G377" i="1"/>
  <c r="G375" i="1"/>
  <c r="G373" i="1"/>
  <c r="G371" i="1"/>
  <c r="G369" i="1"/>
  <c r="G367" i="1"/>
  <c r="G365" i="1"/>
  <c r="G363" i="1"/>
  <c r="G360" i="1"/>
  <c r="G359" i="1"/>
  <c r="G357" i="1"/>
  <c r="G355" i="1"/>
  <c r="G352" i="1"/>
  <c r="G350" i="1"/>
  <c r="G349" i="1"/>
  <c r="G347" i="1"/>
  <c r="G321" i="1"/>
  <c r="G320" i="1"/>
  <c r="G319" i="1"/>
  <c r="G318" i="1"/>
  <c r="G317" i="1"/>
  <c r="G315" i="1"/>
  <c r="G314" i="1"/>
  <c r="G313" i="1"/>
  <c r="G250" i="1"/>
  <c r="G312" i="1"/>
  <c r="G311" i="1"/>
  <c r="G310" i="1"/>
  <c r="G309" i="1"/>
  <c r="G307" i="1"/>
  <c r="G305" i="1"/>
  <c r="G303" i="1"/>
  <c r="G301" i="1"/>
  <c r="G299" i="1"/>
  <c r="G298" i="1"/>
  <c r="G297" i="1"/>
  <c r="G295" i="1"/>
  <c r="G294" i="1"/>
  <c r="G293" i="1"/>
  <c r="G292" i="1"/>
  <c r="G290" i="1"/>
  <c r="G289" i="1"/>
  <c r="G288" i="1"/>
  <c r="G287" i="1"/>
  <c r="G286" i="1"/>
  <c r="G285" i="1"/>
  <c r="G284" i="1"/>
  <c r="G283" i="1"/>
  <c r="G282" i="1"/>
  <c r="G249" i="1"/>
  <c r="G281" i="1"/>
  <c r="G280" i="1"/>
  <c r="G279" i="1"/>
  <c r="G248" i="1"/>
  <c r="G278" i="1"/>
  <c r="G247" i="1"/>
  <c r="G277" i="1"/>
  <c r="G245" i="1"/>
  <c r="G244" i="1"/>
  <c r="G243" i="1"/>
  <c r="G242" i="1"/>
  <c r="G241" i="1"/>
  <c r="G240" i="1"/>
  <c r="G239" i="1"/>
  <c r="G238" i="1"/>
  <c r="G236" i="1"/>
  <c r="G235" i="1"/>
  <c r="G234" i="1"/>
  <c r="G233" i="1"/>
  <c r="G232" i="1"/>
  <c r="G231" i="1"/>
  <c r="G229" i="1"/>
  <c r="G228" i="1"/>
  <c r="G227" i="1"/>
  <c r="G226" i="1"/>
  <c r="G225" i="1"/>
  <c r="G224" i="1"/>
  <c r="G223" i="1"/>
  <c r="G222" i="1"/>
  <c r="G221" i="1"/>
  <c r="G220" i="1"/>
  <c r="G219" i="1"/>
  <c r="G217" i="1"/>
  <c r="G216" i="1"/>
  <c r="G215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3" i="1"/>
  <c r="G191" i="1"/>
  <c r="G188" i="1"/>
  <c r="G187" i="1"/>
  <c r="G186" i="1"/>
  <c r="G185" i="1"/>
  <c r="G184" i="1"/>
  <c r="G183" i="1"/>
  <c r="G182" i="1"/>
  <c r="G181" i="1"/>
  <c r="G180" i="1"/>
  <c r="G179" i="1"/>
  <c r="G178" i="1"/>
  <c r="G346" i="1"/>
  <c r="G175" i="1"/>
  <c r="G274" i="1"/>
  <c r="G174" i="1"/>
  <c r="G173" i="1"/>
  <c r="G171" i="1"/>
  <c r="G170" i="1"/>
  <c r="G169" i="1"/>
  <c r="G87" i="1"/>
  <c r="G86" i="1"/>
  <c r="G85" i="1"/>
  <c r="G84" i="1"/>
  <c r="G83" i="1"/>
  <c r="G345" i="1"/>
  <c r="G344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168" i="1"/>
  <c r="G343" i="1"/>
  <c r="G45" i="1"/>
  <c r="G342" i="1"/>
  <c r="G44" i="1"/>
  <c r="G43" i="1"/>
  <c r="G341" i="1"/>
  <c r="G340" i="1"/>
  <c r="G339" i="1"/>
  <c r="G42" i="1"/>
  <c r="G338" i="1"/>
  <c r="G41" i="1"/>
  <c r="G337" i="1"/>
  <c r="G336" i="1"/>
  <c r="G40" i="1"/>
  <c r="G335" i="1"/>
  <c r="G334" i="1"/>
  <c r="G39" i="1"/>
  <c r="G38" i="1"/>
  <c r="G37" i="1"/>
  <c r="G36" i="1"/>
  <c r="G35" i="1"/>
  <c r="G34" i="1"/>
  <c r="G333" i="1"/>
  <c r="G332" i="1"/>
  <c r="G331" i="1"/>
  <c r="G33" i="1"/>
  <c r="G330" i="1"/>
  <c r="G32" i="1"/>
  <c r="G31" i="1"/>
  <c r="G29" i="1"/>
  <c r="G27" i="1"/>
  <c r="G26" i="1"/>
  <c r="G25" i="1"/>
  <c r="G328" i="1"/>
  <c r="G24" i="1"/>
  <c r="G23" i="1"/>
  <c r="G22" i="1"/>
  <c r="G21" i="1"/>
  <c r="G20" i="1"/>
  <c r="G19" i="1"/>
  <c r="G18" i="1"/>
  <c r="G17" i="1"/>
  <c r="G16" i="1"/>
  <c r="G15" i="1"/>
  <c r="G14" i="1"/>
  <c r="G13" i="1"/>
  <c r="G11" i="1"/>
  <c r="G10" i="1"/>
  <c r="G9" i="1"/>
  <c r="G8" i="1"/>
  <c r="G7" i="1"/>
  <c r="G6" i="1"/>
  <c r="G5" i="1"/>
  <c r="G4" i="1"/>
  <c r="G3" i="1"/>
  <c r="G2" i="1"/>
  <c r="G167" i="1"/>
  <c r="G166" i="1"/>
  <c r="G272" i="1"/>
  <c r="G165" i="1"/>
  <c r="G164" i="1"/>
  <c r="G163" i="1"/>
  <c r="G162" i="1"/>
  <c r="G271" i="1"/>
  <c r="G270" i="1"/>
  <c r="G160" i="1"/>
  <c r="G159" i="1"/>
  <c r="G327" i="1"/>
  <c r="G326" i="1"/>
  <c r="G158" i="1"/>
  <c r="G325" i="1"/>
  <c r="G324" i="1"/>
  <c r="G157" i="1"/>
  <c r="G156" i="1"/>
  <c r="G155" i="1"/>
  <c r="G154" i="1"/>
  <c r="G152" i="1"/>
  <c r="G149" i="1"/>
  <c r="G148" i="1"/>
  <c r="G147" i="1"/>
  <c r="G146" i="1"/>
  <c r="G145" i="1"/>
  <c r="G144" i="1"/>
  <c r="G143" i="1"/>
  <c r="G142" i="1"/>
  <c r="G141" i="1"/>
  <c r="G139" i="1"/>
  <c r="G138" i="1"/>
  <c r="G137" i="1"/>
  <c r="G136" i="1"/>
  <c r="G134" i="1"/>
  <c r="G133" i="1"/>
  <c r="G131" i="1"/>
  <c r="G130" i="1"/>
  <c r="G129" i="1"/>
  <c r="G128" i="1"/>
  <c r="G126" i="1"/>
  <c r="G125" i="1"/>
  <c r="G323" i="1"/>
  <c r="G322" i="1"/>
  <c r="G124" i="1"/>
  <c r="G123" i="1"/>
  <c r="G122" i="1"/>
  <c r="G121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E423" i="1"/>
  <c r="F423" i="1"/>
  <c r="D423" i="1"/>
</calcChain>
</file>

<file path=xl/sharedStrings.xml><?xml version="1.0" encoding="utf-8"?>
<sst xmlns="http://schemas.openxmlformats.org/spreadsheetml/2006/main" count="955" uniqueCount="464">
  <si>
    <t>Table Name</t>
  </si>
  <si>
    <t>Schema Name</t>
  </si>
  <si>
    <t>Row Count</t>
  </si>
  <si>
    <t>Total Space (MB)</t>
  </si>
  <si>
    <t>Used Space (MB)</t>
  </si>
  <si>
    <t>Unused Space (MB)</t>
  </si>
  <si>
    <t>JTI_SD_SalesInformationbyBrand</t>
  </si>
  <si>
    <t>bos</t>
  </si>
  <si>
    <t>BOS_MD_FSurveyItem</t>
  </si>
  <si>
    <t>BOS_SD_FDo</t>
  </si>
  <si>
    <t>JTI_SD_BrandDistDetail</t>
  </si>
  <si>
    <t>BOS_SD_FDoItem</t>
  </si>
  <si>
    <t>BOS_SD_RemainStockInCustItem</t>
  </si>
  <si>
    <t>JTI_SD_RemainStockInCustomer</t>
  </si>
  <si>
    <t>BOS_SD_DjrTracking</t>
  </si>
  <si>
    <t>BOS_SD_FDjrItem</t>
  </si>
  <si>
    <t>Fact_FDO_Detail</t>
  </si>
  <si>
    <t>BI</t>
  </si>
  <si>
    <t>JTI_SPV_FSurvey</t>
  </si>
  <si>
    <t>Fact_RemainStock</t>
  </si>
  <si>
    <t>Fact_FDO_Header</t>
  </si>
  <si>
    <t>JTI_SD_FdjrItemStatus</t>
  </si>
  <si>
    <t>BOS_SD_RemainStockInCust</t>
  </si>
  <si>
    <t>Fact_PD_POSM_WS</t>
  </si>
  <si>
    <t>BOS_SD_FInvoiceItem</t>
  </si>
  <si>
    <t>stg_BOS_SD_FDoItem</t>
  </si>
  <si>
    <t>sli</t>
  </si>
  <si>
    <t>BOS_AR_ArTransRefDoc</t>
  </si>
  <si>
    <t>stg_BOS_SD_FDo</t>
  </si>
  <si>
    <t>Fact_BOS_ARTrans</t>
  </si>
  <si>
    <t>Fact_SD_Invoice</t>
  </si>
  <si>
    <t>BOS_INV_StockHistory</t>
  </si>
  <si>
    <t>JTI_MD_NOOFSurveyItem</t>
  </si>
  <si>
    <t>BOS_AR_ArTrans</t>
  </si>
  <si>
    <t>JTI_SD_FdjrItemStatus_new</t>
  </si>
  <si>
    <t>stg_BOS_SD_RouteItem_ALL</t>
  </si>
  <si>
    <t>JTI_SD_BrandDistCustomerCoverage</t>
  </si>
  <si>
    <t>JTI_SD_SummarySalesInformationbyBrand</t>
  </si>
  <si>
    <t>JTI_SD_BrandDistHeader</t>
  </si>
  <si>
    <t>JTI_SD_SalesReport</t>
  </si>
  <si>
    <t>stg_JTI_SD_FdjrItemStatus</t>
  </si>
  <si>
    <t>Fact_PostingIntegration</t>
  </si>
  <si>
    <t>BOS_SD_FInvoice</t>
  </si>
  <si>
    <t>stg_BOS_SD_FdjrItem</t>
  </si>
  <si>
    <t>JTI_SPV_FSurveyQuestion</t>
  </si>
  <si>
    <t>stg_BOS_SD_DjrTracking</t>
  </si>
  <si>
    <t>DimCustomer</t>
  </si>
  <si>
    <t>JTI_SPV_FSurveyItem</t>
  </si>
  <si>
    <t>BOS_AR_Customer</t>
  </si>
  <si>
    <t>Fact_TMTransaction</t>
  </si>
  <si>
    <t>JTI_SD_SummaryBrandDistDetail</t>
  </si>
  <si>
    <t>JTI_SD_SalesReport_backup</t>
  </si>
  <si>
    <t>JTI_MD_CustomerModis</t>
  </si>
  <si>
    <t>Fact_B2B</t>
  </si>
  <si>
    <t>BOS_SD_FDjr</t>
  </si>
  <si>
    <t>stg_BOS_AR_Customer</t>
  </si>
  <si>
    <t>JTI_TM_Voucher</t>
  </si>
  <si>
    <t>BOS_SD_FDjrOORItem</t>
  </si>
  <si>
    <t>stg_INCR_BOS_SD_FDoItem</t>
  </si>
  <si>
    <t>stg_INCR_BOS_SD_FDo</t>
  </si>
  <si>
    <t>DimRouteItem_mov</t>
  </si>
  <si>
    <t>BOS_SD_RouteItem_H</t>
  </si>
  <si>
    <t>BOS_MD_FSurvey</t>
  </si>
  <si>
    <t>BOS_AR_CustInvoice</t>
  </si>
  <si>
    <t>stg_BOS_PI_Employee_ALL</t>
  </si>
  <si>
    <t>JTI_TM_Transaction</t>
  </si>
  <si>
    <t>JTI_SPV_JoinCallOutletPlan</t>
  </si>
  <si>
    <t>stg_BOS_SD_Route_ALL</t>
  </si>
  <si>
    <t>JTI_SD_SummarySalesReportWeekly</t>
  </si>
  <si>
    <t>Fact_FDO_Detail_DSD</t>
  </si>
  <si>
    <t>stg_INCR_BOS_SD_DjrTracking</t>
  </si>
  <si>
    <t>stg_INCR_BOS_SD_FDjrItem</t>
  </si>
  <si>
    <t>stg_INCR_JTI_SD_FdjrItemStatus</t>
  </si>
  <si>
    <t>JTI_SD_FDjrNOOItem</t>
  </si>
  <si>
    <t>Fact_BrandFunnel</t>
  </si>
  <si>
    <t>Fact_FDO_Header_DSD</t>
  </si>
  <si>
    <t>Fact_CustPaymentDetails</t>
  </si>
  <si>
    <t>JTI_MD_NOORegistrationMonitoring</t>
  </si>
  <si>
    <t>stg_BOS_SD_Fdjr</t>
  </si>
  <si>
    <t>BOS_SD_FDjrOOR</t>
  </si>
  <si>
    <t>Fact_BrandFunnel_BK</t>
  </si>
  <si>
    <t>JTI_MD_NOOFSurvey</t>
  </si>
  <si>
    <t>JTI_AddonNGE_VoucherRetail</t>
  </si>
  <si>
    <t>Fact_CustPaymentItem2</t>
  </si>
  <si>
    <t>JTI_SPV_JourneyCall</t>
  </si>
  <si>
    <t>Fact_SD_Invoice_DSD</t>
  </si>
  <si>
    <t>DimCustomer_DSD</t>
  </si>
  <si>
    <t>Fact_BrandImage</t>
  </si>
  <si>
    <t>jti_ar_custsales</t>
  </si>
  <si>
    <t>stg_BOS_SD_FdjrOORItem</t>
  </si>
  <si>
    <t>Fact_PO_Receipt</t>
  </si>
  <si>
    <t>DimRoute_mov</t>
  </si>
  <si>
    <t>BOS_SD_ROUTE_H</t>
  </si>
  <si>
    <t>JTI_SCW_Stock</t>
  </si>
  <si>
    <t>BOS_SD_ROUTE_DSD_H</t>
  </si>
  <si>
    <t>JTI_SD_SummarySalesReportMonthly</t>
  </si>
  <si>
    <t>BOS_SM_ConfigInfoItem</t>
  </si>
  <si>
    <t>BOS_AR_CustSales</t>
  </si>
  <si>
    <t>BOS_SD_FSoItem</t>
  </si>
  <si>
    <t>stg_INCR_BOS_AR_Customer</t>
  </si>
  <si>
    <t>DimRouteItem_DSD_mov</t>
  </si>
  <si>
    <t>JTI_SD_FDjrNOO</t>
  </si>
  <si>
    <t>JTI_SPV_DailyScheduleItemDetail</t>
  </si>
  <si>
    <t>JTI_TM_Customer</t>
  </si>
  <si>
    <t>BOS_SD_RouteItem_DSD_H</t>
  </si>
  <si>
    <t>stg_BOS_SD_FdjrOOR</t>
  </si>
  <si>
    <t>BOS_AR_ArMaster</t>
  </si>
  <si>
    <t>Fact_CASBankSettlementDetails</t>
  </si>
  <si>
    <t>stg_BOS_SD_RouteItem</t>
  </si>
  <si>
    <t>BOS_SD_FSoItemDelivery</t>
  </si>
  <si>
    <t>BOS_PUR_FPoReceipt_sItem</t>
  </si>
  <si>
    <t>BOS_PUR_FPo_sItem</t>
  </si>
  <si>
    <t>DimRoute_DSD_mov</t>
  </si>
  <si>
    <t>Fact_Sales_Incentive</t>
  </si>
  <si>
    <t>BOS_SD_FSo</t>
  </si>
  <si>
    <t>BOS_MD_SurveyItemWorkplace</t>
  </si>
  <si>
    <t>BOS_INV_Stock</t>
  </si>
  <si>
    <t>JTI_SD_SummaryBrandDistHeader</t>
  </si>
  <si>
    <t>PNL_REV_SellingOut</t>
  </si>
  <si>
    <t>DimRouteCustomer</t>
  </si>
  <si>
    <t>BOS_SD_RouteItem</t>
  </si>
  <si>
    <t>JTI_SPV_DailySchedule</t>
  </si>
  <si>
    <t>JTI_SPV_FWeeklyPlanCalendarItemDetail</t>
  </si>
  <si>
    <t>dbo</t>
  </si>
  <si>
    <t>BOS_PUR_FPo_sItemDelivery</t>
  </si>
  <si>
    <t>stg_INCR_BOS_SD_FDjr</t>
  </si>
  <si>
    <t>JTI_Tracking_PO</t>
  </si>
  <si>
    <t>JTI_SPV_FWeeklyPlanCalendarItem</t>
  </si>
  <si>
    <t>BOS_MD_SurveyQuestion</t>
  </si>
  <si>
    <t>Fact_PO_Invoice</t>
  </si>
  <si>
    <t>BOS_PUR_FPoReceipt_s</t>
  </si>
  <si>
    <t>Fact_Switching_tracker</t>
  </si>
  <si>
    <t>JTI_SPV_FWeeklyPlanCalendarDay</t>
  </si>
  <si>
    <t>Fact_Retail_Audit</t>
  </si>
  <si>
    <t>BOS_PI_Employee_H</t>
  </si>
  <si>
    <t>JTI_MD_NOOSurveyQuestion</t>
  </si>
  <si>
    <t>dimemployee_mov</t>
  </si>
  <si>
    <t>Fact_Switching_tracker_BK</t>
  </si>
  <si>
    <t>JTI_PI_FEmployee</t>
  </si>
  <si>
    <t>BOS_SD_MGM_Area</t>
  </si>
  <si>
    <t>DimProgram</t>
  </si>
  <si>
    <t>BOS_PI_Employee</t>
  </si>
  <si>
    <t>DimEmployee</t>
  </si>
  <si>
    <t>JTI_StockCoverWeek_WS</t>
  </si>
  <si>
    <t>JTI_TM_Program</t>
  </si>
  <si>
    <t>fact_OOS</t>
  </si>
  <si>
    <t>BOS_MD_SurveySalesMapping</t>
  </si>
  <si>
    <t>stg_INCR_BOS_SD_FDjrOORItem</t>
  </si>
  <si>
    <t>BOS_INV_Product</t>
  </si>
  <si>
    <t>JTI_SPV_SurveyQuestion</t>
  </si>
  <si>
    <t>Fact_Sales_Incentive_DSD</t>
  </si>
  <si>
    <t>JTI_SPV_FWeeklyPlanCalendar</t>
  </si>
  <si>
    <t>DimProduct</t>
  </si>
  <si>
    <t>DimRoute</t>
  </si>
  <si>
    <t>BOS_SD_TOTrackingProduct</t>
  </si>
  <si>
    <t>PNL_REV_COGS_Plan</t>
  </si>
  <si>
    <t>stg_INCR_BOS_SD_FDjrOOR</t>
  </si>
  <si>
    <t>Dim_Store</t>
  </si>
  <si>
    <t>BOS_SD_Route</t>
  </si>
  <si>
    <t>stg_BOS_SD_Route</t>
  </si>
  <si>
    <t>PNL_REV_SellingOut_Plan</t>
  </si>
  <si>
    <t>stg_BOS_PI_Employee</t>
  </si>
  <si>
    <t>JTI_TM_Experda</t>
  </si>
  <si>
    <t>JTI_AddonNGE_ProgramVoucherRetail</t>
  </si>
  <si>
    <t>stg_BOS_INV_Product</t>
  </si>
  <si>
    <t>PNL_AR_Customer</t>
  </si>
  <si>
    <t>PNL_AR_Monthly</t>
  </si>
  <si>
    <t>BOS_INV_ProductTechnicalSpecInfo</t>
  </si>
  <si>
    <t>PNL_INV_Monthly</t>
  </si>
  <si>
    <t>JTI_SPV_SurveyCustomerReport</t>
  </si>
  <si>
    <t>JTI_TM_Incentive</t>
  </si>
  <si>
    <t>BOS_BIZ_PeriodicCalendar</t>
  </si>
  <si>
    <t>BOS_SM_ConfigTemplateItem</t>
  </si>
  <si>
    <t>BOS_GEN_Closing</t>
  </si>
  <si>
    <t>JTI_SPV_MappingAreaManager</t>
  </si>
  <si>
    <t>JTI_TM_Category</t>
  </si>
  <si>
    <t>BOS_GL_Workplace</t>
  </si>
  <si>
    <t>BOS_PI_Employee_DSD_H</t>
  </si>
  <si>
    <t>DimProduct_DSD</t>
  </si>
  <si>
    <t>dimemployee_DSD_mov</t>
  </si>
  <si>
    <t>JTI_TM_PackExchange</t>
  </si>
  <si>
    <t>PNL_REV_Gross_Margin</t>
  </si>
  <si>
    <t>PNL_REV_SellingOut2</t>
  </si>
  <si>
    <t>Dim_ConsumerProfile</t>
  </si>
  <si>
    <t>Dim_OccasionalBrand</t>
  </si>
  <si>
    <t>BOS_MD_Survey</t>
  </si>
  <si>
    <t>BOS_SM_User</t>
  </si>
  <si>
    <t>PNL_REV_SellingOut_backup</t>
  </si>
  <si>
    <t>stg_BOS_BIZ_PeriodicCalendar</t>
  </si>
  <si>
    <t>DimCalendar</t>
  </si>
  <si>
    <t>Dim_Retail_Audit_Product</t>
  </si>
  <si>
    <t>JTI_AddonNGE_ProgramVoucherRetailBudgetWorkplace</t>
  </si>
  <si>
    <t>DimWorkplace</t>
  </si>
  <si>
    <t>BOS_SD_FSoItemBonusSource</t>
  </si>
  <si>
    <t>BOS_AR_Category</t>
  </si>
  <si>
    <t>stg_BOS_GEN_Closing</t>
  </si>
  <si>
    <t>JTI_SD_TargetByBrand</t>
  </si>
  <si>
    <t>PNL_AR_Monthly_20241101</t>
  </si>
  <si>
    <t>stg_BOS_GL_Workplace</t>
  </si>
  <si>
    <t>DW_GL_Workplace</t>
  </si>
  <si>
    <t>Dim_OccasionalBrand_Source</t>
  </si>
  <si>
    <t>Dim_Indomaret_Region</t>
  </si>
  <si>
    <t>DimEmployee_DSD</t>
  </si>
  <si>
    <t>DimCalendar_batch2</t>
  </si>
  <si>
    <t>BOS_SM_GroupUser</t>
  </si>
  <si>
    <t>PNL_OPE_Salaries</t>
  </si>
  <si>
    <t>JTI_SPV_SurveyInputSelectionItemDetail</t>
  </si>
  <si>
    <t>stg_BOS_SD_SalesOrganization</t>
  </si>
  <si>
    <t>Dim_Tracker_Product</t>
  </si>
  <si>
    <t>BOS_PI_TeamProductTemplate</t>
  </si>
  <si>
    <t>stg_INCR_BOS_GL_Workplace</t>
  </si>
  <si>
    <t>BOS_MD_SurveyInputSelectionItem</t>
  </si>
  <si>
    <t>BOS_GEN_Reason</t>
  </si>
  <si>
    <t>DimSalesOrganization</t>
  </si>
  <si>
    <t>DimSalesOrganization_DSD</t>
  </si>
  <si>
    <t>DimSupervisor</t>
  </si>
  <si>
    <t>Dim_SourceProduct</t>
  </si>
  <si>
    <t>BOS_SD_TOTracking</t>
  </si>
  <si>
    <t>DimWorkplace_DSD</t>
  </si>
  <si>
    <t>stg_BOS_GEN_Reason</t>
  </si>
  <si>
    <t>PNL_REV_COGS_Plan_new</t>
  </si>
  <si>
    <t>PNL_OPE_Salaries_Reimbursement</t>
  </si>
  <si>
    <t>Dim_Indomaret_Product</t>
  </si>
  <si>
    <t>BOS_SM_ConfigTemplate</t>
  </si>
  <si>
    <t>BOS_INV_ProductCategory</t>
  </si>
  <si>
    <t>PNL_REV_Distributor_Type</t>
  </si>
  <si>
    <t>JTI_SPV_Survey</t>
  </si>
  <si>
    <t>JTI_MSLeadDashboard_WorkplaceMapping</t>
  </si>
  <si>
    <t>PNL_KPI_Back_Margin_Quarter_backup</t>
  </si>
  <si>
    <t>BOS_SD_FTOItem</t>
  </si>
  <si>
    <t>BOS_SD_FTOOOR</t>
  </si>
  <si>
    <t>PNL_KPI_Back_Margin_BAK</t>
  </si>
  <si>
    <t>PNL_KPI_Back_Margin_new</t>
  </si>
  <si>
    <t>PNL_KPI_Back_Margin_Quarter</t>
  </si>
  <si>
    <t>PNL_Investment_Plan_new</t>
  </si>
  <si>
    <t>PNL_KPI_Back_Margin</t>
  </si>
  <si>
    <t>PNL_OPE_Warehouse</t>
  </si>
  <si>
    <t>PNL_OPE_Vehicle</t>
  </si>
  <si>
    <t>PNL_Channel_Top</t>
  </si>
  <si>
    <t>PNL_Investment_Plan</t>
  </si>
  <si>
    <t>PNL_KPI_Back_Margin_Quarter_new</t>
  </si>
  <si>
    <t>PNL_MS_Kurs</t>
  </si>
  <si>
    <t>PNL_OPE_CostofFund</t>
  </si>
  <si>
    <t>PNL_OPE_CostofFund_new</t>
  </si>
  <si>
    <t>PNL_OPE_Depreciation</t>
  </si>
  <si>
    <t>PNL_OPE_Depreciation_new</t>
  </si>
  <si>
    <t>PNL_OPE_Office_Expenses</t>
  </si>
  <si>
    <t>PNL_OPE_Office_Expenses_new</t>
  </si>
  <si>
    <t>PNL_OPE_Others</t>
  </si>
  <si>
    <t>PNL_OPE_Others_new</t>
  </si>
  <si>
    <t>SI_Glossary</t>
  </si>
  <si>
    <t>SI_SKU_Mapping</t>
  </si>
  <si>
    <t>SI_Week_Mapping</t>
  </si>
  <si>
    <t>JTI_MSLeadDashboard_CustCategoryMapping</t>
  </si>
  <si>
    <t>JTI_MSLeadDashboard_ExcludeMapping</t>
  </si>
  <si>
    <t>JTI_MD_NOOSurveyInputSelectionItem</t>
  </si>
  <si>
    <t>JTI_MD_NOOSurveyInputSelection</t>
  </si>
  <si>
    <t>JTI_INCENTIVE</t>
  </si>
  <si>
    <t>JTI_INV_ProductBrandMapping</t>
  </si>
  <si>
    <t>JTI_BI_EmployeeCoverage</t>
  </si>
  <si>
    <t>JTI_BI_EmployeeLevel</t>
  </si>
  <si>
    <t>JTI_CUST_TRACKING</t>
  </si>
  <si>
    <t>JTI_SPV_Scoring</t>
  </si>
  <si>
    <t>JTI_SPV_SurveyInputSelection</t>
  </si>
  <si>
    <t>JTI_SPV_SurveyInputSelectionItem</t>
  </si>
  <si>
    <t>JTI_SD_SalesmanActivityMapping</t>
  </si>
  <si>
    <t>BOS_SD_FTO</t>
  </si>
  <si>
    <t>BOS_SD_SalesOrganization</t>
  </si>
  <si>
    <t>BOS_PI_Team</t>
  </si>
  <si>
    <t>BOS_SD_DeliveryGroup</t>
  </si>
  <si>
    <t>BOS_SD_DistrChannel</t>
  </si>
  <si>
    <t>BOS_AP_Supplier</t>
  </si>
  <si>
    <t>BOS_GEN_RoutineSchedule</t>
  </si>
  <si>
    <t>BOS_GEN_RoutineScheduleItem</t>
  </si>
  <si>
    <t>BOS_GL_Company</t>
  </si>
  <si>
    <t>BOS_INV_ProductCategoryType</t>
  </si>
  <si>
    <t>BOS_INV_StockTransferType</t>
  </si>
  <si>
    <t>BOS_INV_StockType</t>
  </si>
  <si>
    <t>BOS_MD_SurveyInputSelection</t>
  </si>
  <si>
    <t>BOS_SM_ConfigItemType</t>
  </si>
  <si>
    <t>Dim_BrandFunnel</t>
  </si>
  <si>
    <t>Dim_BrandImage</t>
  </si>
  <si>
    <t>Dim_sourceRegion</t>
  </si>
  <si>
    <t>Dim_Stronghold</t>
  </si>
  <si>
    <t>Dim_OOS_Days</t>
  </si>
  <si>
    <t>Dim_Retail_Audit_Region</t>
  </si>
  <si>
    <t>DimSupervisor_DSD</t>
  </si>
  <si>
    <t>DimSupplier</t>
  </si>
  <si>
    <t>DimInvoiceOrderType</t>
  </si>
  <si>
    <t>DimInvoiceOrderType_DSD</t>
  </si>
  <si>
    <t>Dim_Tracker_Region</t>
  </si>
  <si>
    <t>Dim_Stronghold_Source</t>
  </si>
  <si>
    <t>Dim_Switching_Period</t>
  </si>
  <si>
    <t>Dim_Switching_Period_Source</t>
  </si>
  <si>
    <t>DimCashCredit</t>
  </si>
  <si>
    <t>DimChannel</t>
  </si>
  <si>
    <t>Dim_SourceFile</t>
  </si>
  <si>
    <t>Dim_Stronghold_BK</t>
  </si>
  <si>
    <t>SI_Glossary_temp</t>
  </si>
  <si>
    <t>PNL_Investment_Plan_backup</t>
  </si>
  <si>
    <t>PNL_KPI_Back_Margin_Quarter_BAK</t>
  </si>
  <si>
    <t>PNL_OPE_Salaries_new</t>
  </si>
  <si>
    <t>PNL_OPE_Vehicle_new</t>
  </si>
  <si>
    <t>PNL_OPE_Salaries_Reimbursement_new</t>
  </si>
  <si>
    <t>PNL_OPE_Warehouse_new</t>
  </si>
  <si>
    <t>NG_MART_ProductInfo</t>
  </si>
  <si>
    <t>stg_BOS_GEN_Closing_DSD</t>
  </si>
  <si>
    <t>stg_BOS_AR_Customer_DSD</t>
  </si>
  <si>
    <t>PNL_REV_SellingOut_Plan_new</t>
  </si>
  <si>
    <t>STAGING_BOS_SD_FDjr</t>
  </si>
  <si>
    <t>STAGING_BOS_SD_FDjr_BrandDist</t>
  </si>
  <si>
    <t>STAGING_BOS_SD_FDjrOOR</t>
  </si>
  <si>
    <t>STAGING_BOS_SD_FDjrOOR_BrandDist</t>
  </si>
  <si>
    <t>STAGING_BOS_SD_FDo</t>
  </si>
  <si>
    <t>STAGING_BOS_SD_FDo_BrandDist</t>
  </si>
  <si>
    <t>STAGING_BOS_SD_FDoItem</t>
  </si>
  <si>
    <t>STAGING_BOS_SD_FDoItem_BrandDist</t>
  </si>
  <si>
    <t>STAGING_BOS_SD_RemainStockInCustomer</t>
  </si>
  <si>
    <t>STAGING_BrandDist_RepeatCalc</t>
  </si>
  <si>
    <t>STAGING_BrandDist_RepeatCalc2</t>
  </si>
  <si>
    <t>STAGING_BrandDist_RepeatCalc3</t>
  </si>
  <si>
    <t>STAGING_BrandistProduct</t>
  </si>
  <si>
    <t>STAGING_CustomerRoute_BrandDist</t>
  </si>
  <si>
    <t>STAGING_JTI_SD_BrandDist</t>
  </si>
  <si>
    <t>STAGING_JTI_SD_RemainStockInCustBrand</t>
  </si>
  <si>
    <t>STAGING_JTI_SD_SalesInformationbyBrand</t>
  </si>
  <si>
    <t>STAGING_JTI_SD_SalesInformationbyBrand_OOR</t>
  </si>
  <si>
    <t>stg_BOS_GEN_Reason_DSD</t>
  </si>
  <si>
    <t>stg_BOS_GEN_RoutineSchedule</t>
  </si>
  <si>
    <t>stg_BOS_GL_Workplace_DSD</t>
  </si>
  <si>
    <t>stg_BOS_INV_Product_DSD</t>
  </si>
  <si>
    <t>stg_BOS_PI_Employee_DSD</t>
  </si>
  <si>
    <t>stg_BOS_PI_Employee_DSD_ALL</t>
  </si>
  <si>
    <t>stg_BOS_SD_FdjrOOR_DSD</t>
  </si>
  <si>
    <t>stg_BOS_SD_FdjrItem_DSD</t>
  </si>
  <si>
    <t>stg_BOS_SD_Fdjr_DSD</t>
  </si>
  <si>
    <t>stg_BOS_SD_DjrTracking_DSD</t>
  </si>
  <si>
    <t>stg_BOS_SD_SalesOrganization_DSD</t>
  </si>
  <si>
    <t>stg_BOS_SD_Route_DSD</t>
  </si>
  <si>
    <t>stg_BOS_SD_Route_DSD_ALL</t>
  </si>
  <si>
    <t>stg_BOS_SD_RouteItem_DSD</t>
  </si>
  <si>
    <t>stg_BOS_SD_RouteItem_DSD_ALL</t>
  </si>
  <si>
    <t>stg_BOS_SD_FDoItem_DSD</t>
  </si>
  <si>
    <t>stg_BOS_SD_FdjrOORItem_DSD</t>
  </si>
  <si>
    <t>stg_BOS_SD_FDo_DSD</t>
  </si>
  <si>
    <t>JTI_SPV_FSurveyItemPhoto</t>
  </si>
  <si>
    <t>JTI_SPV_DailyScheduleItem</t>
  </si>
  <si>
    <t>JTI_SPV_SurveyDetail</t>
  </si>
  <si>
    <t>JTI_TM_Channel</t>
  </si>
  <si>
    <t>JTI_DSDDSO_OlapAnchor</t>
  </si>
  <si>
    <t>JTI_EmployeeOlapAnchor</t>
  </si>
  <si>
    <t>JTI_GL_WorkplaceMapping</t>
  </si>
  <si>
    <t>Fact_TradePromoDetail</t>
  </si>
  <si>
    <t>Fact_Sales_Volume</t>
  </si>
  <si>
    <t>Fact_Sales_Volume_DSD</t>
  </si>
  <si>
    <t>JTI_OlapAnchor</t>
  </si>
  <si>
    <t>JTI_OlapAnchorSummary</t>
  </si>
  <si>
    <t>JTI_Preprocess_OlapLog</t>
  </si>
  <si>
    <t>JTI_SD_BrandDist</t>
  </si>
  <si>
    <t>Dim_SourceBOSNET</t>
  </si>
  <si>
    <t>DimCustomer_Category</t>
  </si>
  <si>
    <t>DimChannel_DSD</t>
  </si>
  <si>
    <t>DSDDSO_BOS_GL_Workplace</t>
  </si>
  <si>
    <t>DSDDSO_BOS_INV_Product</t>
  </si>
  <si>
    <t>DSDDSO_BOS_INV_ProductCategory</t>
  </si>
  <si>
    <t>DSDDSO_BOS_INV_ProductCategoryType</t>
  </si>
  <si>
    <t>DSDDSO_BOS_SD_SalesOrganization</t>
  </si>
  <si>
    <t>DSDDSO_JTI_GL_WorkplaceMapping</t>
  </si>
  <si>
    <t>DSDDSO_JTI_INV_ProductBrandMapping</t>
  </si>
  <si>
    <t>DSDDSO_JTI_MSLeadDashboard_ExcludeMapping</t>
  </si>
  <si>
    <t>DSDDSO_JTI_MSLeadDashboard_WorkplaceMapping</t>
  </si>
  <si>
    <t>DSDDSO_JTI_SD_SalesReport</t>
  </si>
  <si>
    <t>DSDDSO_JTI_SD_SummaryBrandDistDetail</t>
  </si>
  <si>
    <t>DSDDSO_JTI_SD_SummaryBrandDistHeader</t>
  </si>
  <si>
    <t>DSDDSO_JTI_SD_SummarySalesInformationbyBrand</t>
  </si>
  <si>
    <t>DSDDSO_JTI_SD_SummarySalesReportMonthly</t>
  </si>
  <si>
    <t>DSDDSO_JTI_SD_SummarySalesReportWeekly</t>
  </si>
  <si>
    <t>DSDDSO_JTI_SD_TargetByBrand</t>
  </si>
  <si>
    <t>BOS_MD_SurveyItem</t>
  </si>
  <si>
    <t>BOS_GL_WorkplaceProduct</t>
  </si>
  <si>
    <t>BOS_INV_Principal</t>
  </si>
  <si>
    <t>BOS_SD_CustCollRoutine</t>
  </si>
  <si>
    <t>BOS_PUR_FPo_s</t>
  </si>
  <si>
    <t>BOS_SD_FTOOORItem</t>
  </si>
  <si>
    <t>BOS_SD_FTONOO</t>
  </si>
  <si>
    <t>BOS_SD_FTONOOItem</t>
  </si>
  <si>
    <t>stg_INCR_JTI_SD_FdjrItemStatus_DSD</t>
  </si>
  <si>
    <t>stg_JTI_SD_FdjrItemStatus_DSD</t>
  </si>
  <si>
    <t>stg_temp_JTI_INCENTIVE</t>
  </si>
  <si>
    <t>stg_temp_JTI_INCENTIVE_ACTUALCALL</t>
  </si>
  <si>
    <t xml:space="preserve">stg_temp_JTI_INCENTIVE_ANCHOR </t>
  </si>
  <si>
    <t>stg_temp_JTI_INCENTIVE_EFFECTIVECALL</t>
  </si>
  <si>
    <t>stg_temp_JTI_INCENTIVE_existACTUALCALL_DSD</t>
  </si>
  <si>
    <t>stg_temp_JTI_INCENTIVE_ITEM</t>
  </si>
  <si>
    <t>stg_temp_JTI_INCENTIVE_LOG</t>
  </si>
  <si>
    <t>stg_temp_JTI_INCENTIVE_MASTER</t>
  </si>
  <si>
    <t>stg_temp_JTI_INCENTIVE_Previous</t>
  </si>
  <si>
    <t>stg_temp_JTI_INCENTIVE_RouteItem</t>
  </si>
  <si>
    <t>stg_temp_JTI_INCENTIVE_RouteItem_DSD</t>
  </si>
  <si>
    <t>stg_temp_JTI_INCENTIVE_Status</t>
  </si>
  <si>
    <t>stg_temp_JTI_INCENTIVE_Supervisor</t>
  </si>
  <si>
    <t>stg_temp_p_incentive</t>
  </si>
  <si>
    <t>stg_INCR_BOS_GL_Workplace_DSD</t>
  </si>
  <si>
    <t>stg_INCR_BOS_AR_Customer_DSD</t>
  </si>
  <si>
    <t>stg_INCR_BOS_SD_DjrTracking_DSD</t>
  </si>
  <si>
    <t>stg_INCR_BOS_SD_FDjr_DSD</t>
  </si>
  <si>
    <t>stg_INCR_BOS_SD_FDjrItem_DSD</t>
  </si>
  <si>
    <t>stg_INCR_BOS_SD_FDjrOOR_DSD</t>
  </si>
  <si>
    <t>stg_INCR_BOS_SD_FDjrOORItem_DSD</t>
  </si>
  <si>
    <t>stg_INCR_BOS_SD_FDo_DSD</t>
  </si>
  <si>
    <t>stg_INCR_BOS_SD_FDoItem_DSD</t>
  </si>
  <si>
    <t>dtmDate</t>
  </si>
  <si>
    <t>select top 10 * from bos.BOS_AR_ArTransRefDoc a,bos.BOS_AR_ArTrans b where a.szdocId=b.szdocId</t>
  </si>
  <si>
    <t>dtmTransaction</t>
  </si>
  <si>
    <t>dtmreceipt</t>
  </si>
  <si>
    <t>select top 10 * from bos.BOS_PUR_FPoReceipt_s a,bos.BOS_PUR_FPoReceipt_sItem b where a.szFPOReceipt_sId = b.szFPOReceipt_sId</t>
  </si>
  <si>
    <t>dtmFdjr</t>
  </si>
  <si>
    <t>select top 10 a.* from bos.BOS_SD_FDjrItem a,bos.BOS_SD_FDjr bwhere a.szFDjrId=b.szFDjrId</t>
  </si>
  <si>
    <t>select top 10 a.* from bos.BOS_SD_FDjrOORItem a,bos.BOS_SD_FDjrOOR b where a.szFDjrId=b.szFDjrId</t>
  </si>
  <si>
    <t>select top 10 a.* from bos.BOS_SD_FDoItem a,bos.BOS_SD_FDo b where a.szdoId=b.szdoId</t>
  </si>
  <si>
    <t>dtmDelivery</t>
  </si>
  <si>
    <t>dtmPeriode</t>
  </si>
  <si>
    <t>select top 10 a.* from bos.BOS_SD_FInvoiceItem a,bos.BOS_SD_FInvoice b where a.szFInvoiceId=b.szFInvoiceId</t>
  </si>
  <si>
    <t>select top 10 a.* from bos.BOS_SD_FSoItem a,bos.BOS_SD_FSo b where a.szFSoId=b.szFSoId</t>
  </si>
  <si>
    <t>select top 10 a.* from bos.BOS_SD_RemainStockInCustItem a,bos.BOS_SD_RemainStockInCust b where a.szCustId=a.szCustId and a.dtmMobileTransaction=b.dtmMobileTransaction and a.szSalesId=b.szSalesId</t>
  </si>
  <si>
    <t>dtmMobileTransaction</t>
  </si>
  <si>
    <t>retention Column</t>
  </si>
  <si>
    <t>dtmLastUpdated</t>
  </si>
  <si>
    <t>select top 10 a.* from bos.BOS_SD_Routeitem a,bos.BOS_SD_Route b where a.szRouteId=b.szRouteId</t>
  </si>
  <si>
    <t>select top 10 a.* from sli.BOS_SD_ROUTEItem_H a,sli.BOS_SD_ROUTE_H b where a.szRouteId=b.szRouteId</t>
  </si>
  <si>
    <t>select top 10 a.* from sli.BOS_SD_ROUTEItem_DSD_H a,sli.BOS_SD_ROUTE_DSD_H b where a.szRouteId=b.szRouteId</t>
  </si>
  <si>
    <t>dtmNext</t>
  </si>
  <si>
    <t>select top 10 a.* from bos.BOS_SD_TOTrackingProduct a,bos.BOS_SD_TOTracking b where a.szTOTrackingId=b.szTOTrackingId</t>
  </si>
  <si>
    <t>Date</t>
  </si>
  <si>
    <t>dtmLastUpdate</t>
  </si>
  <si>
    <t>PaymentDate</t>
  </si>
  <si>
    <t>TransactionDate</t>
  </si>
  <si>
    <t>dtmLastWeek</t>
  </si>
  <si>
    <t>All</t>
  </si>
  <si>
    <t>tablename2</t>
  </si>
  <si>
    <t>select top 10 a.* from bos.JTI_SD_FDjrNOOItem a,bos.JTI_SD_FDjrNOO b where a.szFDjrId=b.szFDjrId</t>
  </si>
  <si>
    <t>select top 10 a.* from bos.JTI_SD_FdjrItemStatus_new a,bos.BOS_SD_FDjr b where a.szFDjrId=b.szFDjrId order by 1 desc</t>
  </si>
  <si>
    <t>select top 10 a.* from bos.JTI_SD_FdjrItemStatus a,bos.BOS_SD_FDjr b where a.szFDjrId=b.szFDjrId order by 1 desc</t>
  </si>
  <si>
    <t>select top 10 a.* from bos.BOS_SD_DjrTracking a,bos.BOS_SD_FDjr b where a.szFDjrId=b.szFDjrId</t>
  </si>
  <si>
    <t>dtmPO</t>
  </si>
  <si>
    <t>select top 10 a.* from bos.BOS_PUR_FPo_sItem a, bos.BOS_PUR_FPo_s b where a.szFPO_sId=b.szFPO_sId</t>
  </si>
  <si>
    <t>select top 10 a.* from bos.BOS_PUR_FPo_sItemDelivery a, bos.BOS_PUR_FPo_s b where a.szFPO_sId=b.szFPO_sId</t>
  </si>
  <si>
    <t>dtmOrder</t>
  </si>
  <si>
    <t>select top 10 a.* from bos.BOS_SD_FSoItemBonusSource a,bos.BOS_SD_FSo b where a.szFSoId=b.szFSoId</t>
  </si>
  <si>
    <t>select top 10 a.* from bos.BOS_SD_FSoItemDelivery a,bos.BOS_SD_FSo b where a.szFSoId=b.szFSoId</t>
  </si>
  <si>
    <t>dtmFTO</t>
  </si>
  <si>
    <t>select top 10 a.* from bos.BOS_SD_FTOItem a,bos.BOS_SD_FTO b where a.szFTOId=b.szFTOId</t>
  </si>
  <si>
    <t>select top 10 a.* from bos.BOS_SD_FTONOOItem a,bos.BOS_SD_FTONOO b where a.szFTOId=b.szFTOId</t>
  </si>
  <si>
    <t>select top 10 a.* from bos.BOS_SD_FTOOORItem a ,bos.BOS_SD_FTOOOR b where a.szFTOId=b.szFTOId</t>
  </si>
  <si>
    <t>dtmDS</t>
  </si>
  <si>
    <t>select top 10 a.* from bos.JTI_SPV_DailyScheduleItem a,bos.JTI_SPV_DailySchedule b where a.szDSId=b.szDSId</t>
  </si>
  <si>
    <t>select top 10 a.* from bos.JTI_SPV_DailyScheduleItemDetail a,bos.JTI_SPV_DailySchedule b where a.szDSId=b.szDSId</t>
  </si>
  <si>
    <t>select top 10 a.* from bos.JTI_SPV_FSurveyItem a,bos.JTI_SPV_FSurvey b where a.szSurveyId=b.szSurveyId</t>
  </si>
  <si>
    <t>select top 10 a.* from bos.JTI_SPV_FSurveyItemPhoto a,bos.JTI_SPV_FSurvey b where a.szSurveyId=b.szSurveyId</t>
  </si>
  <si>
    <t>select top 10 a.* from bos.JTI_SPV_FSurveyQuestion a,bos.JTI_SPV_FSurvey b where a.szSurveyId=b.szSurveyId</t>
  </si>
  <si>
    <t>select top 10 a.* from bos.JTI_SPV_FWeeklyPlanCalendarDay a,bos.JTI_SPV_FWeeklyPlanCalendar b where a.szFWPCId=b.szFWPCId</t>
  </si>
  <si>
    <t>select top 10 a.* from bos.JTI_SPV_FWeeklyPlanCalendarItem a ,bos.JTI_SPV_FWeeklyPlanCalendar b where a.szFWPCId=b.szFWPCId</t>
  </si>
  <si>
    <t>select top 10 a.* from bos.JTI_SPV_FWeeklyPlanCalendarItemDetail a,bos.JTI_SPV_FWeeklyPlanCalendar b where a.szFWPCId=b.szFWPCId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</si>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</sst>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2"/>
      <color theme="1"/>
      <name val="Aptos"/>
      <family val="2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3" fontId="0" fillId="0" borderId="0" xfId="1" applyFon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FC77B-0368-4168-92F5-775AED8864F8}">
  <dimension ref="A1:I423"/>
  <sheetViews>
    <sheetView tabSelected="1" workbookViewId="0">
      <selection activeCell="G226" sqref="G226"/>
    </sheetView>
  </sheetViews>
  <sheetFormatPr defaultRowHeight="15.6" x14ac:dyDescent="0.3"/>
  <cols>
    <col min="1" max="1" width="47.81640625" bestFit="1" customWidth="1"/>
    <col min="2" max="2" width="14.26953125" bestFit="1" customWidth="1"/>
    <col min="3" max="3" width="14.6328125" style="3" bestFit="1" customWidth="1"/>
    <col min="4" max="4" width="15.90625" bestFit="1" customWidth="1"/>
    <col min="5" max="5" width="16.1796875" bestFit="1" customWidth="1"/>
    <col min="6" max="6" width="18.1796875" bestFit="1" customWidth="1"/>
    <col min="7" max="7" width="49.453125" bestFit="1" customWidth="1"/>
  </cols>
  <sheetData>
    <row r="1" spans="1:8" x14ac:dyDescent="0.3">
      <c r="A1" s="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439</v>
      </c>
      <c r="H1" t="s">
        <v>426</v>
      </c>
    </row>
    <row r="2" spans="1:8" x14ac:dyDescent="0.3">
      <c r="A2" t="s">
        <v>280</v>
      </c>
      <c r="B2" t="s">
        <v>17</v>
      </c>
      <c r="C2" s="3">
        <v>5</v>
      </c>
      <c r="D2">
        <v>7.0000000000000007E-2</v>
      </c>
      <c r="E2">
        <v>0.02</v>
      </c>
      <c r="F2">
        <v>0.05</v>
      </c>
      <c r="G2" t="str">
        <f>B2&amp;"."&amp;A2</f>
        <v>BI.Dim_BrandFunnel</v>
      </c>
    </row>
    <row r="3" spans="1:8" x14ac:dyDescent="0.3">
      <c r="A3" t="s">
        <v>281</v>
      </c>
      <c r="B3" t="s">
        <v>17</v>
      </c>
      <c r="C3" s="3">
        <v>38</v>
      </c>
      <c r="D3">
        <v>7.0000000000000007E-2</v>
      </c>
      <c r="E3">
        <v>0.02</v>
      </c>
      <c r="F3">
        <v>0.05</v>
      </c>
      <c r="G3" t="str">
        <f>B3&amp;"."&amp;A3</f>
        <v>BI.Dim_BrandImage</v>
      </c>
    </row>
    <row r="4" spans="1:8" x14ac:dyDescent="0.3">
      <c r="A4" t="s">
        <v>183</v>
      </c>
      <c r="B4" t="s">
        <v>17</v>
      </c>
      <c r="C4" s="3">
        <v>1294</v>
      </c>
      <c r="D4">
        <v>0.61</v>
      </c>
      <c r="E4">
        <v>0.42</v>
      </c>
      <c r="F4">
        <v>0.19</v>
      </c>
      <c r="G4" t="str">
        <f>B4&amp;"."&amp;A4</f>
        <v>BI.Dim_ConsumerProfile</v>
      </c>
    </row>
    <row r="5" spans="1:8" x14ac:dyDescent="0.3">
      <c r="A5" t="s">
        <v>222</v>
      </c>
      <c r="B5" t="s">
        <v>17</v>
      </c>
      <c r="C5" s="3">
        <v>445</v>
      </c>
      <c r="D5">
        <v>0.15</v>
      </c>
      <c r="E5">
        <v>0.14000000000000001</v>
      </c>
      <c r="F5">
        <v>0.01</v>
      </c>
      <c r="G5" t="str">
        <f>B5&amp;"."&amp;A5</f>
        <v>BI.Dim_Indomaret_Product</v>
      </c>
    </row>
    <row r="6" spans="1:8" x14ac:dyDescent="0.3">
      <c r="A6" t="s">
        <v>201</v>
      </c>
      <c r="B6" t="s">
        <v>17</v>
      </c>
      <c r="C6" s="3">
        <v>99</v>
      </c>
      <c r="D6">
        <v>0.27</v>
      </c>
      <c r="E6">
        <v>0.05</v>
      </c>
      <c r="F6">
        <v>0.22</v>
      </c>
      <c r="G6" t="str">
        <f>B6&amp;"."&amp;A6</f>
        <v>BI.Dim_Indomaret_Region</v>
      </c>
    </row>
    <row r="7" spans="1:8" x14ac:dyDescent="0.3">
      <c r="A7" t="s">
        <v>184</v>
      </c>
      <c r="B7" t="s">
        <v>17</v>
      </c>
      <c r="C7" s="3">
        <v>3308</v>
      </c>
      <c r="D7">
        <v>0.59</v>
      </c>
      <c r="E7">
        <v>0.52</v>
      </c>
      <c r="F7">
        <v>7.0000000000000007E-2</v>
      </c>
      <c r="G7" t="str">
        <f>B7&amp;"."&amp;A7</f>
        <v>BI.Dim_OccasionalBrand</v>
      </c>
    </row>
    <row r="8" spans="1:8" x14ac:dyDescent="0.3">
      <c r="A8" t="s">
        <v>200</v>
      </c>
      <c r="B8" t="s">
        <v>17</v>
      </c>
      <c r="C8" s="3">
        <v>1213</v>
      </c>
      <c r="D8">
        <v>0.27</v>
      </c>
      <c r="E8">
        <v>0.13</v>
      </c>
      <c r="F8">
        <v>0.14000000000000001</v>
      </c>
      <c r="G8" t="str">
        <f>B8&amp;"."&amp;A8</f>
        <v>BI.Dim_OccasionalBrand_Source</v>
      </c>
    </row>
    <row r="9" spans="1:8" x14ac:dyDescent="0.3">
      <c r="A9" t="s">
        <v>284</v>
      </c>
      <c r="B9" t="s">
        <v>17</v>
      </c>
      <c r="C9" s="3">
        <v>6</v>
      </c>
      <c r="D9">
        <v>7.0000000000000007E-2</v>
      </c>
      <c r="E9">
        <v>0.02</v>
      </c>
      <c r="F9">
        <v>0.05</v>
      </c>
      <c r="G9" t="str">
        <f>B9&amp;"."&amp;A9</f>
        <v>BI.Dim_OOS_Days</v>
      </c>
    </row>
    <row r="10" spans="1:8" x14ac:dyDescent="0.3">
      <c r="A10" t="s">
        <v>190</v>
      </c>
      <c r="B10" t="s">
        <v>17</v>
      </c>
      <c r="C10" s="3">
        <v>2524</v>
      </c>
      <c r="D10">
        <v>0.45</v>
      </c>
      <c r="E10">
        <v>0.3</v>
      </c>
      <c r="F10">
        <v>0.14000000000000001</v>
      </c>
      <c r="G10" t="str">
        <f>B10&amp;"."&amp;A10</f>
        <v>BI.Dim_Retail_Audit_Product</v>
      </c>
    </row>
    <row r="11" spans="1:8" x14ac:dyDescent="0.3">
      <c r="A11" t="s">
        <v>285</v>
      </c>
      <c r="B11" t="s">
        <v>17</v>
      </c>
      <c r="C11" s="3">
        <v>1</v>
      </c>
      <c r="D11">
        <v>7.0000000000000007E-2</v>
      </c>
      <c r="E11">
        <v>0.02</v>
      </c>
      <c r="F11">
        <v>0.05</v>
      </c>
      <c r="G11" t="str">
        <f>B11&amp;"."&amp;A11</f>
        <v>BI.Dim_Retail_Audit_Region</v>
      </c>
    </row>
    <row r="12" spans="1:8" x14ac:dyDescent="0.3">
      <c r="A12" t="s">
        <v>359</v>
      </c>
      <c r="B12" t="s">
        <v>17</v>
      </c>
      <c r="C12">
        <v>0</v>
      </c>
      <c r="D12">
        <v>0</v>
      </c>
      <c r="E12">
        <v>0</v>
      </c>
      <c r="F12">
        <v>0</v>
      </c>
      <c r="G12" t="str">
        <f>B12&amp;"."&amp;A12</f>
        <v>BI.Dim_SourceBOSNET</v>
      </c>
    </row>
    <row r="13" spans="1:8" x14ac:dyDescent="0.3">
      <c r="A13" t="s">
        <v>296</v>
      </c>
      <c r="B13" t="s">
        <v>17</v>
      </c>
      <c r="C13" s="3">
        <v>5</v>
      </c>
      <c r="D13">
        <v>7.0000000000000007E-2</v>
      </c>
      <c r="E13">
        <v>0.02</v>
      </c>
      <c r="F13">
        <v>0.05</v>
      </c>
      <c r="G13" t="str">
        <f>B13&amp;"."&amp;A13</f>
        <v>BI.Dim_SourceFile</v>
      </c>
    </row>
    <row r="14" spans="1:8" x14ac:dyDescent="0.3">
      <c r="A14" t="s">
        <v>216</v>
      </c>
      <c r="B14" t="s">
        <v>17</v>
      </c>
      <c r="C14" s="3">
        <v>288</v>
      </c>
      <c r="D14">
        <v>0.2</v>
      </c>
      <c r="E14">
        <v>0.05</v>
      </c>
      <c r="F14">
        <v>0.14000000000000001</v>
      </c>
      <c r="G14" t="str">
        <f>B14&amp;"."&amp;A14</f>
        <v>BI.Dim_SourceProduct</v>
      </c>
    </row>
    <row r="15" spans="1:8" x14ac:dyDescent="0.3">
      <c r="A15" t="s">
        <v>282</v>
      </c>
      <c r="B15" t="s">
        <v>17</v>
      </c>
      <c r="C15" s="3">
        <v>136</v>
      </c>
      <c r="D15">
        <v>7.0000000000000007E-2</v>
      </c>
      <c r="E15">
        <v>0.03</v>
      </c>
      <c r="F15">
        <v>0.04</v>
      </c>
      <c r="G15" t="str">
        <f>B15&amp;"."&amp;A15</f>
        <v>BI.Dim_sourceRegion</v>
      </c>
    </row>
    <row r="16" spans="1:8" x14ac:dyDescent="0.3">
      <c r="A16" t="s">
        <v>157</v>
      </c>
      <c r="B16" t="s">
        <v>17</v>
      </c>
      <c r="C16" s="3">
        <v>19167</v>
      </c>
      <c r="D16">
        <v>1.95</v>
      </c>
      <c r="E16">
        <v>1.92</v>
      </c>
      <c r="F16">
        <v>0.03</v>
      </c>
      <c r="G16" t="str">
        <f>B16&amp;"."&amp;A16</f>
        <v>BI.Dim_Store</v>
      </c>
    </row>
    <row r="17" spans="1:7" x14ac:dyDescent="0.3">
      <c r="A17" t="s">
        <v>283</v>
      </c>
      <c r="B17" t="s">
        <v>17</v>
      </c>
      <c r="C17" s="3">
        <v>345</v>
      </c>
      <c r="D17">
        <v>7.0000000000000007E-2</v>
      </c>
      <c r="E17">
        <v>0.03</v>
      </c>
      <c r="F17">
        <v>0.04</v>
      </c>
      <c r="G17" t="str">
        <f>B17&amp;"."&amp;A17</f>
        <v>BI.Dim_Stronghold</v>
      </c>
    </row>
    <row r="18" spans="1:7" x14ac:dyDescent="0.3">
      <c r="A18" t="s">
        <v>297</v>
      </c>
      <c r="B18" t="s">
        <v>17</v>
      </c>
      <c r="C18" s="3">
        <v>10</v>
      </c>
      <c r="D18">
        <v>0.02</v>
      </c>
      <c r="E18">
        <v>0.02</v>
      </c>
      <c r="F18">
        <v>0</v>
      </c>
      <c r="G18" t="str">
        <f>B18&amp;"."&amp;A18</f>
        <v>BI.Dim_Stronghold_BK</v>
      </c>
    </row>
    <row r="19" spans="1:7" x14ac:dyDescent="0.3">
      <c r="A19" t="s">
        <v>291</v>
      </c>
      <c r="B19" t="s">
        <v>17</v>
      </c>
      <c r="C19" s="3">
        <v>11</v>
      </c>
      <c r="D19">
        <v>7.0000000000000007E-2</v>
      </c>
      <c r="E19">
        <v>0.02</v>
      </c>
      <c r="F19">
        <v>0.05</v>
      </c>
      <c r="G19" t="str">
        <f>B19&amp;"."&amp;A19</f>
        <v>BI.Dim_Stronghold_Source</v>
      </c>
    </row>
    <row r="20" spans="1:7" x14ac:dyDescent="0.3">
      <c r="A20" t="s">
        <v>292</v>
      </c>
      <c r="B20" t="s">
        <v>17</v>
      </c>
      <c r="C20" s="3">
        <v>7</v>
      </c>
      <c r="D20">
        <v>7.0000000000000007E-2</v>
      </c>
      <c r="E20">
        <v>0.02</v>
      </c>
      <c r="F20">
        <v>0.05</v>
      </c>
      <c r="G20" t="str">
        <f>B20&amp;"."&amp;A20</f>
        <v>BI.Dim_Switching_Period</v>
      </c>
    </row>
    <row r="21" spans="1:7" x14ac:dyDescent="0.3">
      <c r="A21" t="s">
        <v>293</v>
      </c>
      <c r="B21" t="s">
        <v>17</v>
      </c>
      <c r="C21" s="3">
        <v>4</v>
      </c>
      <c r="D21">
        <v>7.0000000000000007E-2</v>
      </c>
      <c r="E21">
        <v>0.02</v>
      </c>
      <c r="F21">
        <v>0.05</v>
      </c>
      <c r="G21" t="str">
        <f>B21&amp;"."&amp;A21</f>
        <v>BI.Dim_Switching_Period_Source</v>
      </c>
    </row>
    <row r="22" spans="1:7" x14ac:dyDescent="0.3">
      <c r="A22" t="s">
        <v>208</v>
      </c>
      <c r="B22" t="s">
        <v>17</v>
      </c>
      <c r="C22" s="3">
        <v>500</v>
      </c>
      <c r="D22">
        <v>0.21</v>
      </c>
      <c r="E22">
        <v>0.12</v>
      </c>
      <c r="F22">
        <v>0.09</v>
      </c>
      <c r="G22" t="str">
        <f>B22&amp;"."&amp;A22</f>
        <v>BI.Dim_Tracker_Product</v>
      </c>
    </row>
    <row r="23" spans="1:7" x14ac:dyDescent="0.3">
      <c r="A23" t="s">
        <v>290</v>
      </c>
      <c r="B23" t="s">
        <v>17</v>
      </c>
      <c r="C23" s="3">
        <v>36</v>
      </c>
      <c r="D23">
        <v>7.0000000000000007E-2</v>
      </c>
      <c r="E23">
        <v>0.02</v>
      </c>
      <c r="F23">
        <v>0.05</v>
      </c>
      <c r="G23" t="str">
        <f>B23&amp;"."&amp;A23</f>
        <v>BI.Dim_Tracker_Region</v>
      </c>
    </row>
    <row r="24" spans="1:7" x14ac:dyDescent="0.3">
      <c r="A24" t="s">
        <v>189</v>
      </c>
      <c r="B24" t="s">
        <v>17</v>
      </c>
      <c r="C24" s="3">
        <v>2924</v>
      </c>
      <c r="D24">
        <v>0.46</v>
      </c>
      <c r="E24">
        <v>0.33</v>
      </c>
      <c r="F24">
        <v>0.13</v>
      </c>
      <c r="G24" t="str">
        <f>B24&amp;"."&amp;A24</f>
        <v>BI.DimCalendar</v>
      </c>
    </row>
    <row r="25" spans="1:7" x14ac:dyDescent="0.3">
      <c r="A25" t="s">
        <v>203</v>
      </c>
      <c r="B25" t="s">
        <v>17</v>
      </c>
      <c r="C25" s="3">
        <v>2191</v>
      </c>
      <c r="D25">
        <v>0.26</v>
      </c>
      <c r="E25">
        <v>0.24</v>
      </c>
      <c r="F25">
        <v>0.02</v>
      </c>
      <c r="G25" t="str">
        <f>B25&amp;"."&amp;A25</f>
        <v>BI.DimCalendar_batch2</v>
      </c>
    </row>
    <row r="26" spans="1:7" x14ac:dyDescent="0.3">
      <c r="A26" t="s">
        <v>294</v>
      </c>
      <c r="B26" t="s">
        <v>17</v>
      </c>
      <c r="C26" s="3">
        <v>2</v>
      </c>
      <c r="D26">
        <v>7.0000000000000007E-2</v>
      </c>
      <c r="E26">
        <v>0.02</v>
      </c>
      <c r="F26">
        <v>0.05</v>
      </c>
      <c r="G26" t="str">
        <f>B26&amp;"."&amp;A26</f>
        <v>BI.DimCashCredit</v>
      </c>
    </row>
    <row r="27" spans="1:7" x14ac:dyDescent="0.3">
      <c r="A27" t="s">
        <v>295</v>
      </c>
      <c r="B27" t="s">
        <v>17</v>
      </c>
      <c r="C27" s="3">
        <v>4</v>
      </c>
      <c r="D27">
        <v>7.0000000000000007E-2</v>
      </c>
      <c r="E27">
        <v>0.02</v>
      </c>
      <c r="F27">
        <v>0.05</v>
      </c>
      <c r="G27" t="str">
        <f>B27&amp;"."&amp;A27</f>
        <v>BI.DimChannel</v>
      </c>
    </row>
    <row r="28" spans="1:7" x14ac:dyDescent="0.3">
      <c r="A28" t="s">
        <v>361</v>
      </c>
      <c r="B28" t="s">
        <v>17</v>
      </c>
      <c r="C28">
        <v>0</v>
      </c>
      <c r="D28">
        <v>0</v>
      </c>
      <c r="E28">
        <v>0</v>
      </c>
      <c r="F28">
        <v>0</v>
      </c>
      <c r="G28" t="str">
        <f>B28&amp;"."&amp;A28</f>
        <v>BI.DimChannel_DSD</v>
      </c>
    </row>
    <row r="29" spans="1:7" x14ac:dyDescent="0.3">
      <c r="A29" t="s">
        <v>46</v>
      </c>
      <c r="B29" t="s">
        <v>17</v>
      </c>
      <c r="C29" s="3">
        <v>1424367</v>
      </c>
      <c r="D29">
        <v>2408.1999999999998</v>
      </c>
      <c r="E29">
        <v>2400.35</v>
      </c>
      <c r="F29">
        <v>7.84</v>
      </c>
      <c r="G29" t="str">
        <f>B29&amp;"."&amp;A29</f>
        <v>BI.DimCustomer</v>
      </c>
    </row>
    <row r="30" spans="1:7" x14ac:dyDescent="0.3">
      <c r="A30" t="s">
        <v>360</v>
      </c>
      <c r="B30" t="s">
        <v>17</v>
      </c>
      <c r="C30">
        <v>0</v>
      </c>
      <c r="D30">
        <v>0</v>
      </c>
      <c r="E30">
        <v>0</v>
      </c>
      <c r="F30">
        <v>0</v>
      </c>
      <c r="G30" t="str">
        <f>B30&amp;"."&amp;A30</f>
        <v>BI.DimCustomer_Category</v>
      </c>
    </row>
    <row r="31" spans="1:7" x14ac:dyDescent="0.3">
      <c r="A31" t="s">
        <v>86</v>
      </c>
      <c r="B31" t="s">
        <v>17</v>
      </c>
      <c r="C31" s="3">
        <v>74440</v>
      </c>
      <c r="D31">
        <v>124.94</v>
      </c>
      <c r="E31">
        <v>123.36</v>
      </c>
      <c r="F31">
        <v>1.58</v>
      </c>
      <c r="G31" t="str">
        <f>B31&amp;"."&amp;A31</f>
        <v>BI.DimCustomer_DSD</v>
      </c>
    </row>
    <row r="32" spans="1:7" x14ac:dyDescent="0.3">
      <c r="A32" t="s">
        <v>142</v>
      </c>
      <c r="B32" t="s">
        <v>17</v>
      </c>
      <c r="C32" s="3">
        <v>8985</v>
      </c>
      <c r="D32">
        <v>4.68</v>
      </c>
      <c r="E32">
        <v>3.45</v>
      </c>
      <c r="F32">
        <v>1.23</v>
      </c>
      <c r="G32" t="str">
        <f>B32&amp;"."&amp;A32</f>
        <v>BI.DimEmployee</v>
      </c>
    </row>
    <row r="33" spans="1:7" x14ac:dyDescent="0.3">
      <c r="A33" t="s">
        <v>202</v>
      </c>
      <c r="B33" t="s">
        <v>17</v>
      </c>
      <c r="C33" s="3">
        <v>464</v>
      </c>
      <c r="D33">
        <v>0.27</v>
      </c>
      <c r="E33">
        <v>0.17</v>
      </c>
      <c r="F33">
        <v>0.09</v>
      </c>
      <c r="G33" t="str">
        <f>B33&amp;"."&amp;A33</f>
        <v>BI.DimEmployee_DSD</v>
      </c>
    </row>
    <row r="34" spans="1:7" x14ac:dyDescent="0.3">
      <c r="A34" t="s">
        <v>288</v>
      </c>
      <c r="B34" t="s">
        <v>17</v>
      </c>
      <c r="C34" s="3">
        <v>8</v>
      </c>
      <c r="D34">
        <v>7.0000000000000007E-2</v>
      </c>
      <c r="E34">
        <v>0.02</v>
      </c>
      <c r="F34">
        <v>0.05</v>
      </c>
      <c r="G34" t="str">
        <f>B34&amp;"."&amp;A34</f>
        <v>BI.DimInvoiceOrderType</v>
      </c>
    </row>
    <row r="35" spans="1:7" x14ac:dyDescent="0.3">
      <c r="A35" t="s">
        <v>289</v>
      </c>
      <c r="B35" t="s">
        <v>17</v>
      </c>
      <c r="C35" s="3">
        <v>6</v>
      </c>
      <c r="D35">
        <v>7.0000000000000007E-2</v>
      </c>
      <c r="E35">
        <v>0.02</v>
      </c>
      <c r="F35">
        <v>0.05</v>
      </c>
      <c r="G35" t="str">
        <f>B35&amp;"."&amp;A35</f>
        <v>BI.DimInvoiceOrderType_DSD</v>
      </c>
    </row>
    <row r="36" spans="1:7" x14ac:dyDescent="0.3">
      <c r="A36" t="s">
        <v>152</v>
      </c>
      <c r="B36" t="s">
        <v>17</v>
      </c>
      <c r="C36" s="3">
        <v>2990</v>
      </c>
      <c r="D36">
        <v>2.99</v>
      </c>
      <c r="E36">
        <v>2.19</v>
      </c>
      <c r="F36">
        <v>0.8</v>
      </c>
      <c r="G36" t="str">
        <f>B36&amp;"."&amp;A36</f>
        <v>BI.DimProduct</v>
      </c>
    </row>
    <row r="37" spans="1:7" x14ac:dyDescent="0.3">
      <c r="A37" t="s">
        <v>178</v>
      </c>
      <c r="B37" t="s">
        <v>17</v>
      </c>
      <c r="C37" s="3">
        <v>785</v>
      </c>
      <c r="D37">
        <v>0.66</v>
      </c>
      <c r="E37">
        <v>0.45</v>
      </c>
      <c r="F37">
        <v>0.21</v>
      </c>
      <c r="G37" t="str">
        <f>B37&amp;"."&amp;A37</f>
        <v>BI.DimProduct_DSD</v>
      </c>
    </row>
    <row r="38" spans="1:7" x14ac:dyDescent="0.3">
      <c r="A38" t="s">
        <v>140</v>
      </c>
      <c r="B38" t="s">
        <v>17</v>
      </c>
      <c r="C38" s="3">
        <v>4851</v>
      </c>
      <c r="D38">
        <v>5.0199999999999996</v>
      </c>
      <c r="E38">
        <v>3.74</v>
      </c>
      <c r="F38">
        <v>1.28</v>
      </c>
      <c r="G38" t="str">
        <f>B38&amp;"."&amp;A38</f>
        <v>BI.DimProgram</v>
      </c>
    </row>
    <row r="39" spans="1:7" x14ac:dyDescent="0.3">
      <c r="A39" t="s">
        <v>153</v>
      </c>
      <c r="B39" t="s">
        <v>17</v>
      </c>
      <c r="C39" s="3">
        <v>6327</v>
      </c>
      <c r="D39">
        <v>2.2799999999999998</v>
      </c>
      <c r="E39">
        <v>2.13</v>
      </c>
      <c r="F39">
        <v>0.15</v>
      </c>
      <c r="G39" t="str">
        <f>B39&amp;"."&amp;A39</f>
        <v>BI.DimRoute</v>
      </c>
    </row>
    <row r="40" spans="1:7" x14ac:dyDescent="0.3">
      <c r="A40" t="s">
        <v>119</v>
      </c>
      <c r="B40" t="s">
        <v>17</v>
      </c>
      <c r="C40" s="3">
        <v>155991</v>
      </c>
      <c r="D40">
        <v>17.78</v>
      </c>
      <c r="E40">
        <v>17.72</v>
      </c>
      <c r="F40">
        <v>0.06</v>
      </c>
      <c r="G40" t="str">
        <f>B40&amp;"."&amp;A40</f>
        <v>BI.DimRouteCustomer</v>
      </c>
    </row>
    <row r="41" spans="1:7" x14ac:dyDescent="0.3">
      <c r="A41" t="s">
        <v>213</v>
      </c>
      <c r="B41" t="s">
        <v>17</v>
      </c>
      <c r="C41" s="3">
        <v>94</v>
      </c>
      <c r="D41">
        <v>0.2</v>
      </c>
      <c r="E41">
        <v>0.03</v>
      </c>
      <c r="F41">
        <v>0.16</v>
      </c>
      <c r="G41" t="str">
        <f>B41&amp;"."&amp;A41</f>
        <v>BI.DimSalesOrganization</v>
      </c>
    </row>
    <row r="42" spans="1:7" x14ac:dyDescent="0.3">
      <c r="A42" t="s">
        <v>214</v>
      </c>
      <c r="B42" t="s">
        <v>17</v>
      </c>
      <c r="C42" s="3">
        <v>69</v>
      </c>
      <c r="D42">
        <v>0.2</v>
      </c>
      <c r="E42">
        <v>0.04</v>
      </c>
      <c r="F42">
        <v>0.16</v>
      </c>
      <c r="G42" t="str">
        <f>B42&amp;"."&amp;A42</f>
        <v>BI.DimSalesOrganization_DSD</v>
      </c>
    </row>
    <row r="43" spans="1:7" x14ac:dyDescent="0.3">
      <c r="A43" t="s">
        <v>287</v>
      </c>
      <c r="B43" t="s">
        <v>17</v>
      </c>
      <c r="C43" s="3">
        <v>6</v>
      </c>
      <c r="D43">
        <v>7.0000000000000007E-2</v>
      </c>
      <c r="E43">
        <v>0.02</v>
      </c>
      <c r="F43">
        <v>0.05</v>
      </c>
      <c r="G43" t="str">
        <f>B43&amp;"."&amp;A43</f>
        <v>BI.DimSupplier</v>
      </c>
    </row>
    <row r="44" spans="1:7" x14ac:dyDescent="0.3">
      <c r="A44" t="s">
        <v>192</v>
      </c>
      <c r="B44" t="s">
        <v>17</v>
      </c>
      <c r="C44" s="3">
        <v>372</v>
      </c>
      <c r="D44">
        <v>0.41</v>
      </c>
      <c r="E44">
        <v>0.27</v>
      </c>
      <c r="F44">
        <v>0.14000000000000001</v>
      </c>
      <c r="G44" t="str">
        <f>B44&amp;"."&amp;A44</f>
        <v>BI.DimWorkplace</v>
      </c>
    </row>
    <row r="45" spans="1:7" x14ac:dyDescent="0.3">
      <c r="A45" t="s">
        <v>218</v>
      </c>
      <c r="B45" t="s">
        <v>17</v>
      </c>
      <c r="C45" s="3">
        <v>43</v>
      </c>
      <c r="D45">
        <v>0.2</v>
      </c>
      <c r="E45">
        <v>0.05</v>
      </c>
      <c r="F45">
        <v>0.14000000000000001</v>
      </c>
      <c r="G45" t="str">
        <f>B45&amp;"."&amp;A45</f>
        <v>BI.DimWorkplace_DSD</v>
      </c>
    </row>
    <row r="46" spans="1:7" x14ac:dyDescent="0.3">
      <c r="A46" t="s">
        <v>362</v>
      </c>
      <c r="B46" t="s">
        <v>17</v>
      </c>
      <c r="C46">
        <v>0</v>
      </c>
      <c r="D46">
        <v>0</v>
      </c>
      <c r="E46">
        <v>0</v>
      </c>
      <c r="F46">
        <v>0</v>
      </c>
      <c r="G46" t="str">
        <f>B46&amp;"."&amp;A46</f>
        <v>BI.DSDDSO_BOS_GL_Workplace</v>
      </c>
    </row>
    <row r="47" spans="1:7" x14ac:dyDescent="0.3">
      <c r="A47" t="s">
        <v>363</v>
      </c>
      <c r="B47" t="s">
        <v>17</v>
      </c>
      <c r="C47">
        <v>0</v>
      </c>
      <c r="D47">
        <v>0</v>
      </c>
      <c r="E47">
        <v>0</v>
      </c>
      <c r="F47">
        <v>0</v>
      </c>
      <c r="G47" t="str">
        <f>B47&amp;"."&amp;A47</f>
        <v>BI.DSDDSO_BOS_INV_Product</v>
      </c>
    </row>
    <row r="48" spans="1:7" x14ac:dyDescent="0.3">
      <c r="A48" t="s">
        <v>364</v>
      </c>
      <c r="B48" t="s">
        <v>17</v>
      </c>
      <c r="C48">
        <v>0</v>
      </c>
      <c r="D48">
        <v>0</v>
      </c>
      <c r="E48">
        <v>0</v>
      </c>
      <c r="F48">
        <v>0</v>
      </c>
      <c r="G48" t="str">
        <f>B48&amp;"."&amp;A48</f>
        <v>BI.DSDDSO_BOS_INV_ProductCategory</v>
      </c>
    </row>
    <row r="49" spans="1:8" x14ac:dyDescent="0.3">
      <c r="A49" t="s">
        <v>365</v>
      </c>
      <c r="B49" t="s">
        <v>17</v>
      </c>
      <c r="C49">
        <v>0</v>
      </c>
      <c r="D49">
        <v>0</v>
      </c>
      <c r="E49">
        <v>0</v>
      </c>
      <c r="F49">
        <v>0</v>
      </c>
      <c r="G49" t="str">
        <f>B49&amp;"."&amp;A49</f>
        <v>BI.DSDDSO_BOS_INV_ProductCategoryType</v>
      </c>
    </row>
    <row r="50" spans="1:8" x14ac:dyDescent="0.3">
      <c r="A50" t="s">
        <v>366</v>
      </c>
      <c r="B50" t="s">
        <v>17</v>
      </c>
      <c r="C50">
        <v>0</v>
      </c>
      <c r="D50">
        <v>0</v>
      </c>
      <c r="E50">
        <v>0</v>
      </c>
      <c r="F50">
        <v>0</v>
      </c>
      <c r="G50" t="str">
        <f>B50&amp;"."&amp;A50</f>
        <v>BI.DSDDSO_BOS_SD_SalesOrganization</v>
      </c>
    </row>
    <row r="51" spans="1:8" x14ac:dyDescent="0.3">
      <c r="A51" t="s">
        <v>367</v>
      </c>
      <c r="B51" t="s">
        <v>17</v>
      </c>
      <c r="C51">
        <v>0</v>
      </c>
      <c r="D51">
        <v>0</v>
      </c>
      <c r="E51">
        <v>0</v>
      </c>
      <c r="F51">
        <v>0</v>
      </c>
      <c r="G51" t="str">
        <f>B51&amp;"."&amp;A51</f>
        <v>BI.DSDDSO_JTI_GL_WorkplaceMapping</v>
      </c>
    </row>
    <row r="52" spans="1:8" x14ac:dyDescent="0.3">
      <c r="A52" t="s">
        <v>368</v>
      </c>
      <c r="B52" t="s">
        <v>17</v>
      </c>
      <c r="C52">
        <v>0</v>
      </c>
      <c r="D52">
        <v>0</v>
      </c>
      <c r="E52">
        <v>0</v>
      </c>
      <c r="F52">
        <v>0</v>
      </c>
      <c r="G52" t="str">
        <f>B52&amp;"."&amp;A52</f>
        <v>BI.DSDDSO_JTI_INV_ProductBrandMapping</v>
      </c>
    </row>
    <row r="53" spans="1:8" x14ac:dyDescent="0.3">
      <c r="A53" t="s">
        <v>369</v>
      </c>
      <c r="B53" t="s">
        <v>17</v>
      </c>
      <c r="C53">
        <v>0</v>
      </c>
      <c r="D53">
        <v>0</v>
      </c>
      <c r="E53">
        <v>0</v>
      </c>
      <c r="F53">
        <v>0</v>
      </c>
      <c r="G53" t="str">
        <f>B53&amp;"."&amp;A53</f>
        <v>BI.DSDDSO_JTI_MSLeadDashboard_ExcludeMapping</v>
      </c>
    </row>
    <row r="54" spans="1:8" x14ac:dyDescent="0.3">
      <c r="A54" t="s">
        <v>370</v>
      </c>
      <c r="B54" t="s">
        <v>17</v>
      </c>
      <c r="C54">
        <v>0</v>
      </c>
      <c r="D54">
        <v>0</v>
      </c>
      <c r="E54">
        <v>0</v>
      </c>
      <c r="F54">
        <v>0</v>
      </c>
      <c r="G54" t="str">
        <f>B54&amp;"."&amp;A54</f>
        <v>BI.DSDDSO_JTI_MSLeadDashboard_WorkplaceMapping</v>
      </c>
    </row>
    <row r="55" spans="1:8" x14ac:dyDescent="0.3">
      <c r="A55" t="s">
        <v>371</v>
      </c>
      <c r="B55" t="s">
        <v>17</v>
      </c>
      <c r="C55">
        <v>0</v>
      </c>
      <c r="D55">
        <v>0</v>
      </c>
      <c r="E55">
        <v>0</v>
      </c>
      <c r="F55">
        <v>0</v>
      </c>
      <c r="G55" t="str">
        <f>B55&amp;"."&amp;A55</f>
        <v>BI.DSDDSO_JTI_SD_SalesReport</v>
      </c>
    </row>
    <row r="56" spans="1:8" x14ac:dyDescent="0.3">
      <c r="A56" t="s">
        <v>372</v>
      </c>
      <c r="B56" t="s">
        <v>17</v>
      </c>
      <c r="C56">
        <v>0</v>
      </c>
      <c r="D56">
        <v>0</v>
      </c>
      <c r="E56">
        <v>0</v>
      </c>
      <c r="F56">
        <v>0</v>
      </c>
      <c r="G56" t="str">
        <f>B56&amp;"."&amp;A56</f>
        <v>BI.DSDDSO_JTI_SD_SummaryBrandDistDetail</v>
      </c>
    </row>
    <row r="57" spans="1:8" x14ac:dyDescent="0.3">
      <c r="A57" t="s">
        <v>373</v>
      </c>
      <c r="B57" t="s">
        <v>17</v>
      </c>
      <c r="C57">
        <v>0</v>
      </c>
      <c r="D57">
        <v>0</v>
      </c>
      <c r="E57">
        <v>0</v>
      </c>
      <c r="F57">
        <v>0</v>
      </c>
      <c r="G57" t="str">
        <f>B57&amp;"."&amp;A57</f>
        <v>BI.DSDDSO_JTI_SD_SummaryBrandDistHeader</v>
      </c>
    </row>
    <row r="58" spans="1:8" x14ac:dyDescent="0.3">
      <c r="A58" t="s">
        <v>374</v>
      </c>
      <c r="B58" t="s">
        <v>17</v>
      </c>
      <c r="C58">
        <v>0</v>
      </c>
      <c r="D58">
        <v>0</v>
      </c>
      <c r="E58">
        <v>0</v>
      </c>
      <c r="F58">
        <v>0</v>
      </c>
      <c r="G58" t="str">
        <f>B58&amp;"."&amp;A58</f>
        <v>BI.DSDDSO_JTI_SD_SummarySalesInformationbyBrand</v>
      </c>
    </row>
    <row r="59" spans="1:8" x14ac:dyDescent="0.3">
      <c r="A59" t="s">
        <v>375</v>
      </c>
      <c r="B59" t="s">
        <v>17</v>
      </c>
      <c r="C59">
        <v>0</v>
      </c>
      <c r="D59">
        <v>0</v>
      </c>
      <c r="E59">
        <v>0</v>
      </c>
      <c r="F59">
        <v>0</v>
      </c>
      <c r="G59" t="str">
        <f>B59&amp;"."&amp;A59</f>
        <v>BI.DSDDSO_JTI_SD_SummarySalesReportMonthly</v>
      </c>
    </row>
    <row r="60" spans="1:8" x14ac:dyDescent="0.3">
      <c r="A60" t="s">
        <v>376</v>
      </c>
      <c r="B60" t="s">
        <v>17</v>
      </c>
      <c r="C60">
        <v>0</v>
      </c>
      <c r="D60">
        <v>0</v>
      </c>
      <c r="E60">
        <v>0</v>
      </c>
      <c r="F60">
        <v>0</v>
      </c>
      <c r="G60" t="str">
        <f>B60&amp;"."&amp;A60</f>
        <v>BI.DSDDSO_JTI_SD_SummarySalesReportWeekly</v>
      </c>
    </row>
    <row r="61" spans="1:8" x14ac:dyDescent="0.3">
      <c r="A61" t="s">
        <v>377</v>
      </c>
      <c r="B61" t="s">
        <v>17</v>
      </c>
      <c r="C61">
        <v>0</v>
      </c>
      <c r="D61">
        <v>0</v>
      </c>
      <c r="E61">
        <v>0</v>
      </c>
      <c r="F61">
        <v>0</v>
      </c>
      <c r="G61" t="str">
        <f>B61&amp;"."&amp;A61</f>
        <v>BI.DSDDSO_JTI_SD_TargetByBrand</v>
      </c>
    </row>
    <row r="62" spans="1:8" x14ac:dyDescent="0.3">
      <c r="A62" t="s">
        <v>53</v>
      </c>
      <c r="B62" t="s">
        <v>17</v>
      </c>
      <c r="C62" s="3">
        <v>10076130</v>
      </c>
      <c r="D62">
        <v>862.82</v>
      </c>
      <c r="E62">
        <v>858.29</v>
      </c>
      <c r="F62">
        <v>4.53</v>
      </c>
      <c r="G62" t="str">
        <f>B62&amp;"."&amp;A62</f>
        <v>BI.Fact_B2B</v>
      </c>
      <c r="H62" t="s">
        <v>433</v>
      </c>
    </row>
    <row r="63" spans="1:8" x14ac:dyDescent="0.3">
      <c r="A63" t="s">
        <v>29</v>
      </c>
      <c r="B63" t="s">
        <v>17</v>
      </c>
      <c r="C63" s="3">
        <v>53422263</v>
      </c>
      <c r="D63">
        <v>9987.9500000000007</v>
      </c>
      <c r="E63">
        <v>9983.4500000000007</v>
      </c>
      <c r="F63">
        <v>4.51</v>
      </c>
      <c r="G63" t="str">
        <f>B63&amp;"."&amp;A63</f>
        <v>BI.Fact_BOS_ARTrans</v>
      </c>
      <c r="H63" t="s">
        <v>433</v>
      </c>
    </row>
    <row r="64" spans="1:8" x14ac:dyDescent="0.3">
      <c r="A64" t="s">
        <v>74</v>
      </c>
      <c r="B64" t="s">
        <v>17</v>
      </c>
      <c r="C64" s="3">
        <v>3098298</v>
      </c>
      <c r="D64">
        <v>273.49</v>
      </c>
      <c r="E64">
        <v>273.13</v>
      </c>
      <c r="F64">
        <v>0.37</v>
      </c>
      <c r="G64" t="str">
        <f>B64&amp;"."&amp;A64</f>
        <v>BI.Fact_BrandFunnel</v>
      </c>
      <c r="H64" t="s">
        <v>433</v>
      </c>
    </row>
    <row r="65" spans="1:8" x14ac:dyDescent="0.3">
      <c r="A65" t="s">
        <v>80</v>
      </c>
      <c r="B65" t="s">
        <v>17</v>
      </c>
      <c r="C65" s="3">
        <v>2284453</v>
      </c>
      <c r="D65">
        <v>200.95</v>
      </c>
      <c r="E65">
        <v>200.92</v>
      </c>
      <c r="F65">
        <v>0.02</v>
      </c>
      <c r="G65" t="str">
        <f>B65&amp;"."&amp;A65</f>
        <v>BI.Fact_BrandFunnel_BK</v>
      </c>
      <c r="H65" t="s">
        <v>433</v>
      </c>
    </row>
    <row r="66" spans="1:8" x14ac:dyDescent="0.3">
      <c r="A66" t="s">
        <v>87</v>
      </c>
      <c r="B66" t="s">
        <v>17</v>
      </c>
      <c r="C66" s="3">
        <v>1984209</v>
      </c>
      <c r="D66">
        <v>124.52</v>
      </c>
      <c r="E66">
        <v>123.52</v>
      </c>
      <c r="F66">
        <v>1.01</v>
      </c>
      <c r="G66" t="str">
        <f>B66&amp;"."&amp;A66</f>
        <v>BI.Fact_BrandImage</v>
      </c>
      <c r="H66" t="s">
        <v>433</v>
      </c>
    </row>
    <row r="67" spans="1:8" x14ac:dyDescent="0.3">
      <c r="A67" t="s">
        <v>107</v>
      </c>
      <c r="B67" t="s">
        <v>17</v>
      </c>
      <c r="C67" s="3">
        <v>114209</v>
      </c>
      <c r="D67">
        <v>30.4</v>
      </c>
      <c r="E67">
        <v>26.16</v>
      </c>
      <c r="F67">
        <v>4.2300000000000004</v>
      </c>
      <c r="G67" t="str">
        <f>B67&amp;"."&amp;A67</f>
        <v>BI.Fact_CASBankSettlementDetails</v>
      </c>
      <c r="H67" t="s">
        <v>434</v>
      </c>
    </row>
    <row r="68" spans="1:8" x14ac:dyDescent="0.3">
      <c r="A68" t="s">
        <v>76</v>
      </c>
      <c r="B68" t="s">
        <v>17</v>
      </c>
      <c r="C68" s="3">
        <v>543230</v>
      </c>
      <c r="D68">
        <v>253.46</v>
      </c>
      <c r="E68">
        <v>205.45</v>
      </c>
      <c r="F68">
        <v>48.02</v>
      </c>
      <c r="G68" t="str">
        <f>B68&amp;"."&amp;A68</f>
        <v>BI.Fact_CustPaymentDetails</v>
      </c>
      <c r="H68" t="s">
        <v>435</v>
      </c>
    </row>
    <row r="69" spans="1:8" x14ac:dyDescent="0.3">
      <c r="A69" t="s">
        <v>83</v>
      </c>
      <c r="B69" t="s">
        <v>17</v>
      </c>
      <c r="C69" s="3">
        <v>531135</v>
      </c>
      <c r="D69">
        <v>148.36000000000001</v>
      </c>
      <c r="E69">
        <v>107.58</v>
      </c>
      <c r="F69">
        <v>40.78</v>
      </c>
      <c r="G69" t="str">
        <f>B69&amp;"."&amp;A69</f>
        <v>BI.Fact_CustPaymentItem2</v>
      </c>
      <c r="H69" t="s">
        <v>435</v>
      </c>
    </row>
    <row r="70" spans="1:8" x14ac:dyDescent="0.3">
      <c r="A70" t="s">
        <v>16</v>
      </c>
      <c r="B70" t="s">
        <v>17</v>
      </c>
      <c r="C70" s="3">
        <v>72947521</v>
      </c>
      <c r="D70">
        <v>22039.93</v>
      </c>
      <c r="E70">
        <v>22022.560000000001</v>
      </c>
      <c r="F70">
        <v>17.37</v>
      </c>
      <c r="G70" t="str">
        <f>B70&amp;"."&amp;A70</f>
        <v>BI.Fact_FDO_Detail</v>
      </c>
      <c r="H70" t="s">
        <v>433</v>
      </c>
    </row>
    <row r="71" spans="1:8" x14ac:dyDescent="0.3">
      <c r="A71" t="s">
        <v>69</v>
      </c>
      <c r="B71" t="s">
        <v>17</v>
      </c>
      <c r="C71" s="3">
        <v>993758</v>
      </c>
      <c r="D71">
        <v>317.2</v>
      </c>
      <c r="E71">
        <v>300.44</v>
      </c>
      <c r="F71">
        <v>16.760000000000002</v>
      </c>
      <c r="G71" t="str">
        <f>B71&amp;"."&amp;A71</f>
        <v>BI.Fact_FDO_Detail_DSD</v>
      </c>
      <c r="H71" t="s">
        <v>433</v>
      </c>
    </row>
    <row r="72" spans="1:8" x14ac:dyDescent="0.3">
      <c r="A72" t="s">
        <v>20</v>
      </c>
      <c r="B72" t="s">
        <v>17</v>
      </c>
      <c r="C72" s="3">
        <v>44372842</v>
      </c>
      <c r="D72">
        <v>19470.62</v>
      </c>
      <c r="E72">
        <v>19466.18</v>
      </c>
      <c r="F72">
        <v>4.4400000000000004</v>
      </c>
      <c r="G72" t="str">
        <f>B72&amp;"."&amp;A72</f>
        <v>BI.Fact_FDO_Header</v>
      </c>
      <c r="H72" t="s">
        <v>433</v>
      </c>
    </row>
    <row r="73" spans="1:8" x14ac:dyDescent="0.3">
      <c r="A73" t="s">
        <v>75</v>
      </c>
      <c r="B73" t="s">
        <v>17</v>
      </c>
      <c r="C73" s="3">
        <v>633728</v>
      </c>
      <c r="D73">
        <v>257.3</v>
      </c>
      <c r="E73">
        <v>245.34</v>
      </c>
      <c r="F73">
        <v>11.96</v>
      </c>
      <c r="G73" t="str">
        <f>B73&amp;"."&amp;A73</f>
        <v>BI.Fact_FDO_Header_DSD</v>
      </c>
      <c r="H73" t="s">
        <v>433</v>
      </c>
    </row>
    <row r="74" spans="1:8" x14ac:dyDescent="0.3">
      <c r="A74" t="s">
        <v>145</v>
      </c>
      <c r="B74" t="s">
        <v>17</v>
      </c>
      <c r="C74" s="3">
        <v>99155</v>
      </c>
      <c r="D74">
        <v>4.32</v>
      </c>
      <c r="E74">
        <v>4.25</v>
      </c>
      <c r="F74">
        <v>7.0000000000000007E-2</v>
      </c>
      <c r="G74" t="str">
        <f>B74&amp;"."&amp;A74</f>
        <v>BI.fact_OOS</v>
      </c>
      <c r="H74" t="s">
        <v>433</v>
      </c>
    </row>
    <row r="75" spans="1:8" x14ac:dyDescent="0.3">
      <c r="A75" t="s">
        <v>23</v>
      </c>
      <c r="B75" t="s">
        <v>17</v>
      </c>
      <c r="C75" s="3">
        <v>112231600</v>
      </c>
      <c r="D75">
        <v>14252.61</v>
      </c>
      <c r="E75">
        <v>14176.87</v>
      </c>
      <c r="F75">
        <v>75.739999999999995</v>
      </c>
      <c r="G75" t="str">
        <f>B75&amp;"."&amp;A75</f>
        <v>BI.Fact_PD_POSM_WS</v>
      </c>
      <c r="H75" t="s">
        <v>433</v>
      </c>
    </row>
    <row r="76" spans="1:8" x14ac:dyDescent="0.3">
      <c r="A76" t="s">
        <v>129</v>
      </c>
      <c r="B76" t="s">
        <v>17</v>
      </c>
      <c r="C76" s="3">
        <v>24088</v>
      </c>
      <c r="D76">
        <v>8.77</v>
      </c>
      <c r="E76">
        <v>8.5500000000000007</v>
      </c>
      <c r="F76">
        <v>0.22</v>
      </c>
      <c r="G76" t="str">
        <f>B76&amp;"."&amp;A76</f>
        <v>BI.Fact_PO_Invoice</v>
      </c>
      <c r="H76" t="s">
        <v>433</v>
      </c>
    </row>
    <row r="77" spans="1:8" x14ac:dyDescent="0.3">
      <c r="A77" t="s">
        <v>90</v>
      </c>
      <c r="B77" t="s">
        <v>17</v>
      </c>
      <c r="C77" s="3">
        <v>121588</v>
      </c>
      <c r="D77">
        <v>87.98</v>
      </c>
      <c r="E77">
        <v>55.79</v>
      </c>
      <c r="F77">
        <v>32.19</v>
      </c>
      <c r="G77" t="str">
        <f>B77&amp;"."&amp;A77</f>
        <v>BI.Fact_PO_Receipt</v>
      </c>
      <c r="H77" t="s">
        <v>433</v>
      </c>
    </row>
    <row r="78" spans="1:8" x14ac:dyDescent="0.3">
      <c r="A78" t="s">
        <v>41</v>
      </c>
      <c r="B78" t="s">
        <v>17</v>
      </c>
      <c r="C78" s="3">
        <v>22281470</v>
      </c>
      <c r="D78">
        <v>3630.42</v>
      </c>
      <c r="E78">
        <v>3605.37</v>
      </c>
      <c r="F78">
        <v>25.05</v>
      </c>
      <c r="G78" t="str">
        <f>B78&amp;"."&amp;A78</f>
        <v>BI.Fact_PostingIntegration</v>
      </c>
      <c r="H78" t="s">
        <v>436</v>
      </c>
    </row>
    <row r="79" spans="1:8" x14ac:dyDescent="0.3">
      <c r="A79" t="s">
        <v>19</v>
      </c>
      <c r="B79" t="s">
        <v>17</v>
      </c>
      <c r="C79" s="3">
        <v>109304069</v>
      </c>
      <c r="D79">
        <v>20767.740000000002</v>
      </c>
      <c r="E79">
        <v>20757.87</v>
      </c>
      <c r="F79">
        <v>9.8800000000000008</v>
      </c>
      <c r="G79" t="str">
        <f>B79&amp;"."&amp;A79</f>
        <v>BI.Fact_RemainStock</v>
      </c>
      <c r="H79" t="s">
        <v>433</v>
      </c>
    </row>
    <row r="80" spans="1:8" x14ac:dyDescent="0.3">
      <c r="A80" t="s">
        <v>133</v>
      </c>
      <c r="B80" t="s">
        <v>17</v>
      </c>
      <c r="C80" s="3">
        <v>57250</v>
      </c>
      <c r="D80">
        <v>7.01</v>
      </c>
      <c r="E80">
        <v>6.81</v>
      </c>
      <c r="F80">
        <v>0.2</v>
      </c>
      <c r="G80" t="str">
        <f>B80&amp;"."&amp;A80</f>
        <v>BI.Fact_Retail_Audit</v>
      </c>
      <c r="H80" t="s">
        <v>433</v>
      </c>
    </row>
    <row r="81" spans="1:8" x14ac:dyDescent="0.3">
      <c r="A81" t="s">
        <v>353</v>
      </c>
      <c r="B81" t="s">
        <v>17</v>
      </c>
      <c r="C81">
        <v>0</v>
      </c>
      <c r="D81">
        <v>0</v>
      </c>
      <c r="E81">
        <v>0</v>
      </c>
      <c r="F81">
        <v>0</v>
      </c>
      <c r="G81" t="str">
        <f>B81&amp;"."&amp;A81</f>
        <v>BI.Fact_Sales_Volume</v>
      </c>
    </row>
    <row r="82" spans="1:8" x14ac:dyDescent="0.3">
      <c r="A82" t="s">
        <v>354</v>
      </c>
      <c r="B82" t="s">
        <v>17</v>
      </c>
      <c r="C82">
        <v>0</v>
      </c>
      <c r="D82">
        <v>0</v>
      </c>
      <c r="E82">
        <v>0</v>
      </c>
      <c r="F82">
        <v>0</v>
      </c>
      <c r="G82" t="str">
        <f>B82&amp;"."&amp;A82</f>
        <v>BI.Fact_Sales_Volume_DSD</v>
      </c>
    </row>
    <row r="83" spans="1:8" x14ac:dyDescent="0.3">
      <c r="A83" t="s">
        <v>30</v>
      </c>
      <c r="B83" t="s">
        <v>17</v>
      </c>
      <c r="C83" s="3">
        <v>26705114</v>
      </c>
      <c r="D83">
        <v>9441.3700000000008</v>
      </c>
      <c r="E83">
        <v>9436.02</v>
      </c>
      <c r="F83">
        <v>5.34</v>
      </c>
      <c r="G83" t="str">
        <f>B83&amp;"."&amp;A83</f>
        <v>BI.Fact_SD_Invoice</v>
      </c>
      <c r="H83" t="s">
        <v>427</v>
      </c>
    </row>
    <row r="84" spans="1:8" x14ac:dyDescent="0.3">
      <c r="A84" t="s">
        <v>85</v>
      </c>
      <c r="B84" t="s">
        <v>17</v>
      </c>
      <c r="C84" s="3">
        <v>633686</v>
      </c>
      <c r="D84">
        <v>130.18</v>
      </c>
      <c r="E84">
        <v>116.34</v>
      </c>
      <c r="F84">
        <v>13.84</v>
      </c>
      <c r="G84" t="str">
        <f>B84&amp;"."&amp;A84</f>
        <v>BI.Fact_SD_Invoice_DSD</v>
      </c>
      <c r="H84" t="s">
        <v>427</v>
      </c>
    </row>
    <row r="85" spans="1:8" x14ac:dyDescent="0.3">
      <c r="A85" t="s">
        <v>131</v>
      </c>
      <c r="B85" t="s">
        <v>17</v>
      </c>
      <c r="C85" s="3">
        <v>64662</v>
      </c>
      <c r="D85">
        <v>7.6</v>
      </c>
      <c r="E85">
        <v>7.54</v>
      </c>
      <c r="F85">
        <v>0.06</v>
      </c>
      <c r="G85" t="str">
        <f>B85&amp;"."&amp;A85</f>
        <v>BI.Fact_Switching_tracker</v>
      </c>
      <c r="H85" t="s">
        <v>433</v>
      </c>
    </row>
    <row r="86" spans="1:8" x14ac:dyDescent="0.3">
      <c r="A86" t="s">
        <v>137</v>
      </c>
      <c r="B86" t="s">
        <v>17</v>
      </c>
      <c r="C86" s="3">
        <v>47571</v>
      </c>
      <c r="D86">
        <v>5.51</v>
      </c>
      <c r="E86">
        <v>5.5</v>
      </c>
      <c r="F86">
        <v>0.01</v>
      </c>
      <c r="G86" t="str">
        <f>B86&amp;"."&amp;A86</f>
        <v>BI.Fact_Switching_tracker_BK</v>
      </c>
      <c r="H86" t="s">
        <v>433</v>
      </c>
    </row>
    <row r="87" spans="1:8" x14ac:dyDescent="0.3">
      <c r="A87" t="s">
        <v>49</v>
      </c>
      <c r="B87" t="s">
        <v>17</v>
      </c>
      <c r="C87" s="3">
        <v>7646334</v>
      </c>
      <c r="D87">
        <v>2202.3200000000002</v>
      </c>
      <c r="E87">
        <v>2195.77</v>
      </c>
      <c r="F87">
        <v>6.55</v>
      </c>
      <c r="G87" t="str">
        <f>B87&amp;"."&amp;A87</f>
        <v>BI.Fact_TMTransaction</v>
      </c>
      <c r="H87" t="s">
        <v>436</v>
      </c>
    </row>
    <row r="88" spans="1:8" x14ac:dyDescent="0.3">
      <c r="A88" t="s">
        <v>352</v>
      </c>
      <c r="B88" t="s">
        <v>17</v>
      </c>
      <c r="C88">
        <v>0</v>
      </c>
      <c r="D88">
        <v>0</v>
      </c>
      <c r="E88">
        <v>0</v>
      </c>
      <c r="F88">
        <v>0</v>
      </c>
      <c r="G88" t="str">
        <f>B88&amp;"."&amp;A88</f>
        <v>BI.Fact_TradePromoDetail</v>
      </c>
    </row>
    <row r="89" spans="1:8" x14ac:dyDescent="0.3">
      <c r="A89" t="s">
        <v>349</v>
      </c>
      <c r="B89" t="s">
        <v>17</v>
      </c>
      <c r="C89">
        <v>0</v>
      </c>
      <c r="D89">
        <v>0</v>
      </c>
      <c r="E89">
        <v>0</v>
      </c>
      <c r="F89">
        <v>0</v>
      </c>
      <c r="G89" t="str">
        <f>B89&amp;"."&amp;A89</f>
        <v>BI.JTI_DSDDSO_OlapAnchor</v>
      </c>
    </row>
    <row r="90" spans="1:8" x14ac:dyDescent="0.3">
      <c r="A90" t="s">
        <v>271</v>
      </c>
      <c r="B90" t="s">
        <v>7</v>
      </c>
      <c r="C90" s="3">
        <v>6</v>
      </c>
      <c r="D90">
        <v>7.0000000000000007E-2</v>
      </c>
      <c r="E90">
        <v>0.02</v>
      </c>
      <c r="F90">
        <v>0.05</v>
      </c>
      <c r="G90" t="str">
        <f>B90&amp;"."&amp;A90</f>
        <v>bos.BOS_AP_Supplier</v>
      </c>
    </row>
    <row r="91" spans="1:8" x14ac:dyDescent="0.3">
      <c r="A91" t="s">
        <v>106</v>
      </c>
      <c r="B91" t="s">
        <v>7</v>
      </c>
      <c r="C91" s="3">
        <v>209584</v>
      </c>
      <c r="D91">
        <v>32.65</v>
      </c>
      <c r="E91">
        <v>31.99</v>
      </c>
      <c r="F91">
        <v>0.66</v>
      </c>
      <c r="G91" t="str">
        <f>B91&amp;"."&amp;A91</f>
        <v>bos.BOS_AR_ArMaster</v>
      </c>
    </row>
    <row r="92" spans="1:8" x14ac:dyDescent="0.3">
      <c r="A92" t="s">
        <v>33</v>
      </c>
      <c r="B92" t="s">
        <v>7</v>
      </c>
      <c r="C92" s="3">
        <v>10065114</v>
      </c>
      <c r="D92">
        <v>7394.01</v>
      </c>
      <c r="E92">
        <v>7392.09</v>
      </c>
      <c r="F92">
        <v>1.92</v>
      </c>
      <c r="G92" t="str">
        <f>B92&amp;"."&amp;A92</f>
        <v>bos.BOS_AR_ArTrans</v>
      </c>
      <c r="H92" t="s">
        <v>411</v>
      </c>
    </row>
    <row r="93" spans="1:8" x14ac:dyDescent="0.3">
      <c r="A93" t="s">
        <v>27</v>
      </c>
      <c r="B93" t="s">
        <v>7</v>
      </c>
      <c r="C93" s="3">
        <v>26718530</v>
      </c>
      <c r="D93">
        <v>10828.98</v>
      </c>
      <c r="E93">
        <v>10827.28</v>
      </c>
      <c r="F93">
        <v>1.7</v>
      </c>
      <c r="G93" t="str">
        <f>B93&amp;"."&amp;A93</f>
        <v>bos.BOS_AR_ArTransRefDoc</v>
      </c>
      <c r="H93" t="s">
        <v>412</v>
      </c>
    </row>
    <row r="94" spans="1:8" x14ac:dyDescent="0.3">
      <c r="A94" t="s">
        <v>194</v>
      </c>
      <c r="B94" t="s">
        <v>7</v>
      </c>
      <c r="C94" s="3">
        <v>830</v>
      </c>
      <c r="D94">
        <v>0.34</v>
      </c>
      <c r="E94">
        <v>0.21</v>
      </c>
      <c r="F94">
        <v>0.13</v>
      </c>
      <c r="G94" t="str">
        <f>B94&amp;"."&amp;A94</f>
        <v>bos.BOS_AR_Category</v>
      </c>
    </row>
    <row r="95" spans="1:8" x14ac:dyDescent="0.3">
      <c r="A95" t="s">
        <v>63</v>
      </c>
      <c r="B95" t="s">
        <v>7</v>
      </c>
      <c r="C95" s="3">
        <v>313412</v>
      </c>
      <c r="D95">
        <v>532.33000000000004</v>
      </c>
      <c r="E95">
        <v>531.86</v>
      </c>
      <c r="F95">
        <v>0.47</v>
      </c>
      <c r="G95" t="str">
        <f>B95&amp;"."&amp;A95</f>
        <v>bos.BOS_AR_CustInvoice</v>
      </c>
    </row>
    <row r="96" spans="1:8" x14ac:dyDescent="0.3">
      <c r="A96" t="s">
        <v>48</v>
      </c>
      <c r="B96" t="s">
        <v>7</v>
      </c>
      <c r="C96" s="3">
        <v>1478798</v>
      </c>
      <c r="D96">
        <v>2223.2800000000002</v>
      </c>
      <c r="E96">
        <v>2220.73</v>
      </c>
      <c r="F96">
        <v>2.5499999999999998</v>
      </c>
      <c r="G96" t="str">
        <f>B96&amp;"."&amp;A96</f>
        <v>bos.BOS_AR_Customer</v>
      </c>
    </row>
    <row r="97" spans="1:8" x14ac:dyDescent="0.3">
      <c r="A97" t="s">
        <v>97</v>
      </c>
      <c r="B97" t="s">
        <v>7</v>
      </c>
      <c r="C97" s="3">
        <v>238005</v>
      </c>
      <c r="D97">
        <v>53.85</v>
      </c>
      <c r="E97">
        <v>52.98</v>
      </c>
      <c r="F97">
        <v>0.87</v>
      </c>
      <c r="G97" t="str">
        <f>B97&amp;"."&amp;A97</f>
        <v>bos.BOS_AR_CustSales</v>
      </c>
    </row>
    <row r="98" spans="1:8" x14ac:dyDescent="0.3">
      <c r="A98" t="s">
        <v>171</v>
      </c>
      <c r="B98" t="s">
        <v>7</v>
      </c>
      <c r="C98" s="3">
        <v>2924</v>
      </c>
      <c r="D98">
        <v>0.95</v>
      </c>
      <c r="E98">
        <v>0.7</v>
      </c>
      <c r="F98">
        <v>0.25</v>
      </c>
      <c r="G98" t="str">
        <f>B98&amp;"."&amp;A98</f>
        <v>bos.BOS_BIZ_PeriodicCalendar</v>
      </c>
    </row>
    <row r="99" spans="1:8" x14ac:dyDescent="0.3">
      <c r="A99" t="s">
        <v>173</v>
      </c>
      <c r="B99" t="s">
        <v>7</v>
      </c>
      <c r="C99" s="3">
        <v>2625</v>
      </c>
      <c r="D99">
        <v>0.77</v>
      </c>
      <c r="E99">
        <v>0.55000000000000004</v>
      </c>
      <c r="F99">
        <v>0.22</v>
      </c>
      <c r="G99" t="str">
        <f>B99&amp;"."&amp;A99</f>
        <v>bos.BOS_GEN_Closing</v>
      </c>
    </row>
    <row r="100" spans="1:8" x14ac:dyDescent="0.3">
      <c r="A100" t="s">
        <v>212</v>
      </c>
      <c r="B100" t="s">
        <v>7</v>
      </c>
      <c r="C100" s="3">
        <v>242</v>
      </c>
      <c r="D100">
        <v>0.2</v>
      </c>
      <c r="E100">
        <v>7.0000000000000007E-2</v>
      </c>
      <c r="F100">
        <v>0.13</v>
      </c>
      <c r="G100" t="str">
        <f>B100&amp;"."&amp;A100</f>
        <v>bos.BOS_GEN_Reason</v>
      </c>
    </row>
    <row r="101" spans="1:8" x14ac:dyDescent="0.3">
      <c r="A101" t="s">
        <v>272</v>
      </c>
      <c r="B101" t="s">
        <v>7</v>
      </c>
      <c r="C101" s="3">
        <v>64</v>
      </c>
      <c r="D101">
        <v>7.0000000000000007E-2</v>
      </c>
      <c r="E101">
        <v>0.03</v>
      </c>
      <c r="F101">
        <v>0.04</v>
      </c>
      <c r="G101" t="str">
        <f>B101&amp;"."&amp;A101</f>
        <v>bos.BOS_GEN_RoutineSchedule</v>
      </c>
    </row>
    <row r="102" spans="1:8" x14ac:dyDescent="0.3">
      <c r="A102" t="s">
        <v>273</v>
      </c>
      <c r="B102" t="s">
        <v>7</v>
      </c>
      <c r="C102" s="3">
        <v>69</v>
      </c>
      <c r="D102">
        <v>7.0000000000000007E-2</v>
      </c>
      <c r="E102">
        <v>0.02</v>
      </c>
      <c r="F102">
        <v>0.05</v>
      </c>
      <c r="G102" t="str">
        <f>B102&amp;"."&amp;A102</f>
        <v>bos.BOS_GEN_RoutineScheduleItem</v>
      </c>
    </row>
    <row r="103" spans="1:8" x14ac:dyDescent="0.3">
      <c r="A103" t="s">
        <v>274</v>
      </c>
      <c r="B103" t="s">
        <v>7</v>
      </c>
      <c r="C103" s="3">
        <v>47</v>
      </c>
      <c r="D103">
        <v>7.0000000000000007E-2</v>
      </c>
      <c r="E103">
        <v>0.02</v>
      </c>
      <c r="F103">
        <v>0.05</v>
      </c>
      <c r="G103" t="str">
        <f>B103&amp;"."&amp;A103</f>
        <v>bos.BOS_GL_Company</v>
      </c>
    </row>
    <row r="104" spans="1:8" x14ac:dyDescent="0.3">
      <c r="A104" t="s">
        <v>176</v>
      </c>
      <c r="B104" t="s">
        <v>7</v>
      </c>
      <c r="C104" s="3">
        <v>563</v>
      </c>
      <c r="D104">
        <v>0.7</v>
      </c>
      <c r="E104">
        <v>0.51</v>
      </c>
      <c r="F104">
        <v>0.2</v>
      </c>
      <c r="G104" t="str">
        <f>B104&amp;"."&amp;A104</f>
        <v>bos.BOS_GL_Workplace</v>
      </c>
    </row>
    <row r="105" spans="1:8" x14ac:dyDescent="0.3">
      <c r="A105" t="s">
        <v>379</v>
      </c>
      <c r="B105" t="s">
        <v>7</v>
      </c>
      <c r="C105">
        <v>0</v>
      </c>
      <c r="D105">
        <v>0</v>
      </c>
      <c r="E105">
        <v>0</v>
      </c>
      <c r="F105">
        <v>0</v>
      </c>
      <c r="G105" t="str">
        <f>B105&amp;"."&amp;A105</f>
        <v>bos.BOS_GL_WorkplaceProduct</v>
      </c>
    </row>
    <row r="106" spans="1:8" x14ac:dyDescent="0.3">
      <c r="A106" t="s">
        <v>380</v>
      </c>
      <c r="B106" t="s">
        <v>7</v>
      </c>
      <c r="C106">
        <v>0</v>
      </c>
      <c r="D106">
        <v>0</v>
      </c>
      <c r="E106">
        <v>0</v>
      </c>
      <c r="F106">
        <v>0</v>
      </c>
      <c r="G106" t="str">
        <f>B106&amp;"."&amp;A106</f>
        <v>bos.BOS_INV_Principal</v>
      </c>
    </row>
    <row r="107" spans="1:8" x14ac:dyDescent="0.3">
      <c r="A107" t="s">
        <v>148</v>
      </c>
      <c r="B107" t="s">
        <v>7</v>
      </c>
      <c r="C107" s="3">
        <v>2991</v>
      </c>
      <c r="D107">
        <v>3.39</v>
      </c>
      <c r="E107">
        <v>2.5099999999999998</v>
      </c>
      <c r="F107">
        <v>0.88</v>
      </c>
      <c r="G107" t="str">
        <f>B107&amp;"."&amp;A107</f>
        <v>bos.BOS_INV_Product</v>
      </c>
    </row>
    <row r="108" spans="1:8" x14ac:dyDescent="0.3">
      <c r="A108" t="s">
        <v>224</v>
      </c>
      <c r="B108" t="s">
        <v>7</v>
      </c>
      <c r="C108" s="3">
        <v>293</v>
      </c>
      <c r="D108">
        <v>0.14000000000000001</v>
      </c>
      <c r="E108">
        <v>0.09</v>
      </c>
      <c r="F108">
        <v>0.05</v>
      </c>
      <c r="G108" t="str">
        <f>B108&amp;"."&amp;A108</f>
        <v>bos.BOS_INV_ProductCategory</v>
      </c>
    </row>
    <row r="109" spans="1:8" x14ac:dyDescent="0.3">
      <c r="A109" t="s">
        <v>275</v>
      </c>
      <c r="B109" t="s">
        <v>7</v>
      </c>
      <c r="C109" s="3">
        <v>10</v>
      </c>
      <c r="D109">
        <v>7.0000000000000007E-2</v>
      </c>
      <c r="E109">
        <v>0.02</v>
      </c>
      <c r="F109">
        <v>0.05</v>
      </c>
      <c r="G109" t="str">
        <f>B109&amp;"."&amp;A109</f>
        <v>bos.BOS_INV_ProductCategoryType</v>
      </c>
    </row>
    <row r="110" spans="1:8" x14ac:dyDescent="0.3">
      <c r="A110" t="s">
        <v>167</v>
      </c>
      <c r="B110" t="s">
        <v>7</v>
      </c>
      <c r="C110" s="3">
        <v>2991</v>
      </c>
      <c r="D110">
        <v>1.0900000000000001</v>
      </c>
      <c r="E110">
        <v>0.8</v>
      </c>
      <c r="F110">
        <v>0.28999999999999998</v>
      </c>
      <c r="G110" t="str">
        <f>B110&amp;"."&amp;A110</f>
        <v>bos.BOS_INV_ProductTechnicalSpecInfo</v>
      </c>
    </row>
    <row r="111" spans="1:8" x14ac:dyDescent="0.3">
      <c r="A111" t="s">
        <v>116</v>
      </c>
      <c r="B111" t="s">
        <v>7</v>
      </c>
      <c r="C111" s="3">
        <v>75010</v>
      </c>
      <c r="D111">
        <v>19.68</v>
      </c>
      <c r="E111">
        <v>19.11</v>
      </c>
      <c r="F111">
        <v>0.56999999999999995</v>
      </c>
      <c r="G111" t="str">
        <f>B111&amp;"."&amp;A111</f>
        <v>bos.BOS_INV_Stock</v>
      </c>
    </row>
    <row r="112" spans="1:8" x14ac:dyDescent="0.3">
      <c r="A112" t="s">
        <v>31</v>
      </c>
      <c r="B112" t="s">
        <v>7</v>
      </c>
      <c r="C112" s="3">
        <v>9750975</v>
      </c>
      <c r="D112">
        <v>7557.13</v>
      </c>
      <c r="E112">
        <v>7389.49</v>
      </c>
      <c r="F112">
        <v>167.64</v>
      </c>
      <c r="G112" t="str">
        <f>B112&amp;"."&amp;A112</f>
        <v>bos.BOS_INV_StockHistory</v>
      </c>
      <c r="H112" t="s">
        <v>413</v>
      </c>
    </row>
    <row r="113" spans="1:8" x14ac:dyDescent="0.3">
      <c r="A113" t="s">
        <v>276</v>
      </c>
      <c r="B113" t="s">
        <v>7</v>
      </c>
      <c r="C113" s="3">
        <v>4</v>
      </c>
      <c r="D113">
        <v>7.0000000000000007E-2</v>
      </c>
      <c r="E113">
        <v>0.02</v>
      </c>
      <c r="F113">
        <v>0.05</v>
      </c>
      <c r="G113" t="str">
        <f>B113&amp;"."&amp;A113</f>
        <v>bos.BOS_INV_StockTransferType</v>
      </c>
    </row>
    <row r="114" spans="1:8" x14ac:dyDescent="0.3">
      <c r="A114" t="s">
        <v>277</v>
      </c>
      <c r="B114" t="s">
        <v>7</v>
      </c>
      <c r="C114" s="3">
        <v>4</v>
      </c>
      <c r="D114">
        <v>7.0000000000000007E-2</v>
      </c>
      <c r="E114">
        <v>0.02</v>
      </c>
      <c r="F114">
        <v>0.05</v>
      </c>
      <c r="G114" t="str">
        <f>B114&amp;"."&amp;A114</f>
        <v>bos.BOS_INV_StockType</v>
      </c>
    </row>
    <row r="115" spans="1:8" x14ac:dyDescent="0.3">
      <c r="A115" t="s">
        <v>62</v>
      </c>
      <c r="B115" t="s">
        <v>7</v>
      </c>
      <c r="C115" s="3">
        <v>1813222</v>
      </c>
      <c r="D115">
        <v>561.41999999999996</v>
      </c>
      <c r="E115">
        <v>555.46</v>
      </c>
      <c r="F115">
        <v>5.96</v>
      </c>
      <c r="G115" t="str">
        <f>B115&amp;"."&amp;A115</f>
        <v>bos.BOS_MD_FSurvey</v>
      </c>
      <c r="H115" t="s">
        <v>411</v>
      </c>
    </row>
    <row r="116" spans="1:8" x14ac:dyDescent="0.3">
      <c r="A116" t="s">
        <v>8</v>
      </c>
      <c r="B116" t="s">
        <v>7</v>
      </c>
      <c r="C116" s="3">
        <v>16200715</v>
      </c>
      <c r="D116">
        <v>90762.25</v>
      </c>
      <c r="E116">
        <v>90755.07</v>
      </c>
      <c r="F116">
        <v>7.18</v>
      </c>
      <c r="G116" t="str">
        <f>B116&amp;"."&amp;A116</f>
        <v>bos.BOS_MD_FSurveyItem</v>
      </c>
      <c r="H116" t="s">
        <v>411</v>
      </c>
    </row>
    <row r="117" spans="1:8" x14ac:dyDescent="0.3">
      <c r="A117" t="s">
        <v>185</v>
      </c>
      <c r="B117" t="s">
        <v>7</v>
      </c>
      <c r="C117" s="3">
        <v>613</v>
      </c>
      <c r="D117">
        <v>0.55000000000000004</v>
      </c>
      <c r="E117">
        <v>0.34</v>
      </c>
      <c r="F117">
        <v>0.21</v>
      </c>
      <c r="G117" t="str">
        <f>B117&amp;"."&amp;A117</f>
        <v>bos.BOS_MD_Survey</v>
      </c>
    </row>
    <row r="118" spans="1:8" x14ac:dyDescent="0.3">
      <c r="A118" t="s">
        <v>278</v>
      </c>
      <c r="B118" t="s">
        <v>7</v>
      </c>
      <c r="C118" s="3">
        <v>153</v>
      </c>
      <c r="D118">
        <v>7.0000000000000007E-2</v>
      </c>
      <c r="E118">
        <v>0.05</v>
      </c>
      <c r="F118">
        <v>0.02</v>
      </c>
      <c r="G118" t="str">
        <f>B118&amp;"."&amp;A118</f>
        <v>bos.BOS_MD_SurveyInputSelection</v>
      </c>
    </row>
    <row r="119" spans="1:8" x14ac:dyDescent="0.3">
      <c r="A119" t="s">
        <v>211</v>
      </c>
      <c r="B119" t="s">
        <v>7</v>
      </c>
      <c r="C119" s="3">
        <v>673</v>
      </c>
      <c r="D119">
        <v>0.2</v>
      </c>
      <c r="E119">
        <v>0.13</v>
      </c>
      <c r="F119">
        <v>0.06</v>
      </c>
      <c r="G119" t="str">
        <f>B119&amp;"."&amp;A119</f>
        <v>bos.BOS_MD_SurveyInputSelectionItem</v>
      </c>
    </row>
    <row r="120" spans="1:8" x14ac:dyDescent="0.3">
      <c r="A120" t="s">
        <v>378</v>
      </c>
      <c r="B120" t="s">
        <v>7</v>
      </c>
      <c r="C120">
        <v>0</v>
      </c>
      <c r="D120">
        <v>0</v>
      </c>
      <c r="E120">
        <v>0</v>
      </c>
      <c r="F120">
        <v>0</v>
      </c>
      <c r="G120" t="str">
        <f>B120&amp;"."&amp;A120</f>
        <v>bos.BOS_MD_SurveyItem</v>
      </c>
    </row>
    <row r="121" spans="1:8" x14ac:dyDescent="0.3">
      <c r="A121" t="s">
        <v>115</v>
      </c>
      <c r="B121" t="s">
        <v>7</v>
      </c>
      <c r="C121" s="3">
        <v>90483</v>
      </c>
      <c r="D121">
        <v>20.23</v>
      </c>
      <c r="E121">
        <v>19.95</v>
      </c>
      <c r="F121">
        <v>0.27</v>
      </c>
      <c r="G121" t="str">
        <f>B121&amp;"."&amp;A121</f>
        <v>bos.BOS_MD_SurveyItemWorkplace</v>
      </c>
    </row>
    <row r="122" spans="1:8" x14ac:dyDescent="0.3">
      <c r="A122" t="s">
        <v>128</v>
      </c>
      <c r="B122" t="s">
        <v>7</v>
      </c>
      <c r="C122" s="3">
        <v>16594</v>
      </c>
      <c r="D122">
        <v>8.82</v>
      </c>
      <c r="E122">
        <v>8.26</v>
      </c>
      <c r="F122">
        <v>0.56000000000000005</v>
      </c>
      <c r="G122" t="str">
        <f>B122&amp;"."&amp;A122</f>
        <v>bos.BOS_MD_SurveyQuestion</v>
      </c>
    </row>
    <row r="123" spans="1:8" x14ac:dyDescent="0.3">
      <c r="A123" t="s">
        <v>146</v>
      </c>
      <c r="B123" t="s">
        <v>7</v>
      </c>
      <c r="C123" s="3">
        <v>15676</v>
      </c>
      <c r="D123">
        <v>3.86</v>
      </c>
      <c r="E123">
        <v>3.63</v>
      </c>
      <c r="F123">
        <v>0.23</v>
      </c>
      <c r="G123" t="str">
        <f>B123&amp;"."&amp;A123</f>
        <v>bos.BOS_MD_SurveySalesMapping</v>
      </c>
    </row>
    <row r="124" spans="1:8" x14ac:dyDescent="0.3">
      <c r="A124" t="s">
        <v>141</v>
      </c>
      <c r="B124" t="s">
        <v>7</v>
      </c>
      <c r="C124" s="3">
        <v>8638</v>
      </c>
      <c r="D124">
        <v>4.95</v>
      </c>
      <c r="E124">
        <v>3.75</v>
      </c>
      <c r="F124">
        <v>1.2</v>
      </c>
      <c r="G124" t="str">
        <f>B124&amp;"."&amp;A124</f>
        <v>bos.BOS_PI_Employee</v>
      </c>
    </row>
    <row r="125" spans="1:8" x14ac:dyDescent="0.3">
      <c r="A125" t="s">
        <v>268</v>
      </c>
      <c r="B125" t="s">
        <v>7</v>
      </c>
      <c r="C125" s="3">
        <v>1</v>
      </c>
      <c r="D125">
        <v>7.0000000000000007E-2</v>
      </c>
      <c r="E125">
        <v>0.02</v>
      </c>
      <c r="F125">
        <v>0.05</v>
      </c>
      <c r="G125" t="str">
        <f>B125&amp;"."&amp;A125</f>
        <v>bos.BOS_PI_Team</v>
      </c>
    </row>
    <row r="126" spans="1:8" x14ac:dyDescent="0.3">
      <c r="A126" t="s">
        <v>209</v>
      </c>
      <c r="B126" t="s">
        <v>7</v>
      </c>
      <c r="C126" s="3">
        <v>494</v>
      </c>
      <c r="D126">
        <v>0.21</v>
      </c>
      <c r="E126">
        <v>0.11</v>
      </c>
      <c r="F126">
        <v>0.1</v>
      </c>
      <c r="G126" t="str">
        <f>B126&amp;"."&amp;A126</f>
        <v>bos.BOS_PI_TeamProductTemplate</v>
      </c>
    </row>
    <row r="127" spans="1:8" x14ac:dyDescent="0.3">
      <c r="A127" t="s">
        <v>382</v>
      </c>
      <c r="B127" t="s">
        <v>7</v>
      </c>
      <c r="C127">
        <v>0</v>
      </c>
      <c r="D127">
        <v>0</v>
      </c>
      <c r="E127">
        <v>0</v>
      </c>
      <c r="F127">
        <v>0</v>
      </c>
      <c r="G127" t="str">
        <f>B127&amp;"."&amp;A127</f>
        <v>bos.BOS_PUR_FPo_s</v>
      </c>
      <c r="H127" t="s">
        <v>444</v>
      </c>
    </row>
    <row r="128" spans="1:8" x14ac:dyDescent="0.3">
      <c r="A128" t="s">
        <v>111</v>
      </c>
      <c r="B128" t="s">
        <v>7</v>
      </c>
      <c r="C128" s="3">
        <v>56178</v>
      </c>
      <c r="D128">
        <v>25.47</v>
      </c>
      <c r="E128">
        <v>24.74</v>
      </c>
      <c r="F128">
        <v>0.73</v>
      </c>
      <c r="G128" t="str">
        <f>B128&amp;"."&amp;A128</f>
        <v>bos.BOS_PUR_FPo_sItem</v>
      </c>
      <c r="H128" t="s">
        <v>445</v>
      </c>
    </row>
    <row r="129" spans="1:8" x14ac:dyDescent="0.3">
      <c r="A129" t="s">
        <v>124</v>
      </c>
      <c r="B129" t="s">
        <v>7</v>
      </c>
      <c r="C129" s="3">
        <v>56178</v>
      </c>
      <c r="D129">
        <v>12.61</v>
      </c>
      <c r="E129">
        <v>12.08</v>
      </c>
      <c r="F129">
        <v>0.53</v>
      </c>
      <c r="G129" t="str">
        <f>B129&amp;"."&amp;A129</f>
        <v>bos.BOS_PUR_FPo_sItemDelivery</v>
      </c>
      <c r="H129" t="s">
        <v>446</v>
      </c>
    </row>
    <row r="130" spans="1:8" x14ac:dyDescent="0.3">
      <c r="A130" t="s">
        <v>130</v>
      </c>
      <c r="B130" t="s">
        <v>7</v>
      </c>
      <c r="C130" s="3">
        <v>8228</v>
      </c>
      <c r="D130">
        <v>7.6</v>
      </c>
      <c r="E130">
        <v>7.07</v>
      </c>
      <c r="F130">
        <v>0.53</v>
      </c>
      <c r="G130" t="str">
        <f>B130&amp;"."&amp;A130</f>
        <v>bos.BOS_PUR_FPoReceipt_s</v>
      </c>
      <c r="H130" t="s">
        <v>414</v>
      </c>
    </row>
    <row r="131" spans="1:8" x14ac:dyDescent="0.3">
      <c r="A131" t="s">
        <v>110</v>
      </c>
      <c r="B131" t="s">
        <v>7</v>
      </c>
      <c r="C131" s="3">
        <v>54096</v>
      </c>
      <c r="D131">
        <v>25.9</v>
      </c>
      <c r="E131">
        <v>25.23</v>
      </c>
      <c r="F131">
        <v>0.67</v>
      </c>
      <c r="G131" t="str">
        <f>B131&amp;"."&amp;A131</f>
        <v>bos.BOS_PUR_FPoReceipt_sItem</v>
      </c>
      <c r="H131" t="s">
        <v>415</v>
      </c>
    </row>
    <row r="132" spans="1:8" x14ac:dyDescent="0.3">
      <c r="A132" t="s">
        <v>381</v>
      </c>
      <c r="B132" t="s">
        <v>7</v>
      </c>
      <c r="C132">
        <v>0</v>
      </c>
      <c r="D132">
        <v>0</v>
      </c>
      <c r="E132">
        <v>0</v>
      </c>
      <c r="F132">
        <v>0</v>
      </c>
      <c r="G132" t="str">
        <f>B132&amp;"."&amp;A132</f>
        <v>bos.BOS_SD_CustCollRoutine</v>
      </c>
    </row>
    <row r="133" spans="1:8" x14ac:dyDescent="0.3">
      <c r="A133" t="s">
        <v>269</v>
      </c>
      <c r="B133" t="s">
        <v>7</v>
      </c>
      <c r="C133" s="3">
        <v>2</v>
      </c>
      <c r="D133">
        <v>7.0000000000000007E-2</v>
      </c>
      <c r="E133">
        <v>0.02</v>
      </c>
      <c r="F133">
        <v>0.05</v>
      </c>
      <c r="G133" t="str">
        <f>B133&amp;"."&amp;A133</f>
        <v>bos.BOS_SD_DeliveryGroup</v>
      </c>
    </row>
    <row r="134" spans="1:8" x14ac:dyDescent="0.3">
      <c r="A134" t="s">
        <v>270</v>
      </c>
      <c r="B134" t="s">
        <v>7</v>
      </c>
      <c r="C134" s="3">
        <v>4</v>
      </c>
      <c r="D134">
        <v>7.0000000000000007E-2</v>
      </c>
      <c r="E134">
        <v>0.02</v>
      </c>
      <c r="F134">
        <v>0.05</v>
      </c>
      <c r="G134" t="str">
        <f>B134&amp;"."&amp;A134</f>
        <v>bos.BOS_SD_DistrChannel</v>
      </c>
    </row>
    <row r="135" spans="1:8" x14ac:dyDescent="0.3">
      <c r="A135" t="s">
        <v>14</v>
      </c>
      <c r="B135" t="s">
        <v>7</v>
      </c>
      <c r="C135" s="3">
        <v>48771379</v>
      </c>
      <c r="D135">
        <v>24523.58</v>
      </c>
      <c r="E135">
        <v>24518.720000000001</v>
      </c>
      <c r="F135">
        <v>4.8600000000000003</v>
      </c>
      <c r="G135" t="str">
        <f>B135&amp;"."&amp;A135</f>
        <v>bos.BOS_SD_DjrTracking</v>
      </c>
      <c r="H135" t="s">
        <v>443</v>
      </c>
    </row>
    <row r="136" spans="1:8" x14ac:dyDescent="0.3">
      <c r="A136" t="s">
        <v>54</v>
      </c>
      <c r="B136" t="s">
        <v>7</v>
      </c>
      <c r="C136" s="3">
        <v>1996520</v>
      </c>
      <c r="D136">
        <v>848.63</v>
      </c>
      <c r="E136">
        <v>846.13</v>
      </c>
      <c r="F136">
        <v>2.5099999999999998</v>
      </c>
      <c r="G136" t="str">
        <f>B136&amp;"."&amp;A136</f>
        <v>bos.BOS_SD_FDjr</v>
      </c>
      <c r="H136" t="s">
        <v>416</v>
      </c>
    </row>
    <row r="137" spans="1:8" x14ac:dyDescent="0.3">
      <c r="A137" t="s">
        <v>15</v>
      </c>
      <c r="B137" t="s">
        <v>7</v>
      </c>
      <c r="C137" s="3">
        <v>50303743</v>
      </c>
      <c r="D137">
        <v>22206.29</v>
      </c>
      <c r="E137">
        <v>22202.87</v>
      </c>
      <c r="F137">
        <v>3.42</v>
      </c>
      <c r="G137" t="str">
        <f>B137&amp;"."&amp;A137</f>
        <v>bos.BOS_SD_FDjrItem</v>
      </c>
      <c r="H137" t="s">
        <v>417</v>
      </c>
    </row>
    <row r="138" spans="1:8" x14ac:dyDescent="0.3">
      <c r="A138" t="s">
        <v>79</v>
      </c>
      <c r="B138" t="s">
        <v>7</v>
      </c>
      <c r="C138" s="3">
        <v>578272</v>
      </c>
      <c r="D138">
        <v>206.29</v>
      </c>
      <c r="E138">
        <v>198.09</v>
      </c>
      <c r="F138">
        <v>8.1999999999999993</v>
      </c>
      <c r="G138" t="str">
        <f>B138&amp;"."&amp;A138</f>
        <v>bos.BOS_SD_FDjrOOR</v>
      </c>
      <c r="H138" t="s">
        <v>416</v>
      </c>
    </row>
    <row r="139" spans="1:8" x14ac:dyDescent="0.3">
      <c r="A139" t="s">
        <v>57</v>
      </c>
      <c r="B139" t="s">
        <v>7</v>
      </c>
      <c r="C139" s="3">
        <v>2379492</v>
      </c>
      <c r="D139">
        <v>738.66</v>
      </c>
      <c r="E139">
        <v>735.66</v>
      </c>
      <c r="F139">
        <v>3</v>
      </c>
      <c r="G139" t="str">
        <f>B139&amp;"."&amp;A139</f>
        <v>bos.BOS_SD_FDjrOORItem</v>
      </c>
      <c r="H139" t="s">
        <v>418</v>
      </c>
    </row>
    <row r="140" spans="1:8" x14ac:dyDescent="0.3">
      <c r="A140" t="s">
        <v>9</v>
      </c>
      <c r="B140" t="s">
        <v>7</v>
      </c>
      <c r="C140" s="3">
        <v>46813771</v>
      </c>
      <c r="D140">
        <v>57384.1</v>
      </c>
      <c r="E140">
        <v>57358.63</v>
      </c>
      <c r="F140">
        <v>25.48</v>
      </c>
      <c r="G140" t="str">
        <f>B140&amp;"."&amp;A140</f>
        <v>bos.BOS_SD_FDo</v>
      </c>
      <c r="H140" t="s">
        <v>420</v>
      </c>
    </row>
    <row r="141" spans="1:8" x14ac:dyDescent="0.3">
      <c r="A141" t="s">
        <v>11</v>
      </c>
      <c r="B141" t="s">
        <v>7</v>
      </c>
      <c r="C141" s="3">
        <v>68109411</v>
      </c>
      <c r="D141">
        <v>32465.55</v>
      </c>
      <c r="E141">
        <v>32378.37</v>
      </c>
      <c r="F141">
        <v>87.19</v>
      </c>
      <c r="G141" t="str">
        <f>B141&amp;"."&amp;A141</f>
        <v>bos.BOS_SD_FDoItem</v>
      </c>
      <c r="H141" t="s">
        <v>419</v>
      </c>
    </row>
    <row r="142" spans="1:8" x14ac:dyDescent="0.3">
      <c r="A142" t="s">
        <v>42</v>
      </c>
      <c r="B142" t="s">
        <v>7</v>
      </c>
      <c r="C142" s="3">
        <v>5043162</v>
      </c>
      <c r="D142">
        <v>3566.11</v>
      </c>
      <c r="E142">
        <v>3561.81</v>
      </c>
      <c r="F142">
        <v>4.3</v>
      </c>
      <c r="G142" t="str">
        <f>B142&amp;"."&amp;A142</f>
        <v>bos.BOS_SD_FInvoice</v>
      </c>
      <c r="H142" t="s">
        <v>421</v>
      </c>
    </row>
    <row r="143" spans="1:8" x14ac:dyDescent="0.3">
      <c r="A143" t="s">
        <v>24</v>
      </c>
      <c r="B143" t="s">
        <v>7</v>
      </c>
      <c r="C143" s="3">
        <v>23346252</v>
      </c>
      <c r="D143">
        <v>13776.69</v>
      </c>
      <c r="E143">
        <v>13774.72</v>
      </c>
      <c r="F143">
        <v>1.97</v>
      </c>
      <c r="G143" t="str">
        <f>B143&amp;"."&amp;A143</f>
        <v>bos.BOS_SD_FInvoiceItem</v>
      </c>
      <c r="H143" t="s">
        <v>422</v>
      </c>
    </row>
    <row r="144" spans="1:8" x14ac:dyDescent="0.3">
      <c r="A144" t="s">
        <v>114</v>
      </c>
      <c r="B144" t="s">
        <v>7</v>
      </c>
      <c r="C144" s="3">
        <v>20312</v>
      </c>
      <c r="D144">
        <v>20.34</v>
      </c>
      <c r="E144">
        <v>19.59</v>
      </c>
      <c r="F144">
        <v>0.75</v>
      </c>
      <c r="G144" t="str">
        <f>B144&amp;"."&amp;A144</f>
        <v>bos.BOS_SD_FSo</v>
      </c>
      <c r="H144" t="s">
        <v>447</v>
      </c>
    </row>
    <row r="145" spans="1:8" x14ac:dyDescent="0.3">
      <c r="A145" t="s">
        <v>98</v>
      </c>
      <c r="B145" t="s">
        <v>7</v>
      </c>
      <c r="C145" s="3">
        <v>89147</v>
      </c>
      <c r="D145">
        <v>46.72</v>
      </c>
      <c r="E145">
        <v>46.08</v>
      </c>
      <c r="F145">
        <v>0.64</v>
      </c>
      <c r="G145" t="str">
        <f>B145&amp;"."&amp;A145</f>
        <v>bos.BOS_SD_FSoItem</v>
      </c>
      <c r="H145" t="s">
        <v>423</v>
      </c>
    </row>
    <row r="146" spans="1:8" x14ac:dyDescent="0.3">
      <c r="A146" t="s">
        <v>193</v>
      </c>
      <c r="B146" t="s">
        <v>7</v>
      </c>
      <c r="C146" s="3">
        <v>876</v>
      </c>
      <c r="D146">
        <v>0.35</v>
      </c>
      <c r="E146">
        <v>0.26</v>
      </c>
      <c r="F146">
        <v>0.09</v>
      </c>
      <c r="G146" t="str">
        <f>B146&amp;"."&amp;A146</f>
        <v>bos.BOS_SD_FSoItemBonusSource</v>
      </c>
      <c r="H146" t="s">
        <v>448</v>
      </c>
    </row>
    <row r="147" spans="1:8" x14ac:dyDescent="0.3">
      <c r="A147" t="s">
        <v>109</v>
      </c>
      <c r="B147" t="s">
        <v>7</v>
      </c>
      <c r="C147" s="3">
        <v>89147</v>
      </c>
      <c r="D147">
        <v>28.05</v>
      </c>
      <c r="E147">
        <v>27.47</v>
      </c>
      <c r="F147">
        <v>0.57999999999999996</v>
      </c>
      <c r="G147" t="str">
        <f>B147&amp;"."&amp;A147</f>
        <v>bos.BOS_SD_FSoItemDelivery</v>
      </c>
      <c r="H147" t="s">
        <v>449</v>
      </c>
    </row>
    <row r="148" spans="1:8" x14ac:dyDescent="0.3">
      <c r="A148" t="s">
        <v>266</v>
      </c>
      <c r="B148" t="s">
        <v>7</v>
      </c>
      <c r="C148" s="3">
        <v>9</v>
      </c>
      <c r="D148">
        <v>7.0000000000000007E-2</v>
      </c>
      <c r="E148">
        <v>0.02</v>
      </c>
      <c r="F148">
        <v>0.05</v>
      </c>
      <c r="G148" t="str">
        <f>B148&amp;"."&amp;A148</f>
        <v>bos.BOS_SD_FTO</v>
      </c>
      <c r="H148" t="s">
        <v>450</v>
      </c>
    </row>
    <row r="149" spans="1:8" x14ac:dyDescent="0.3">
      <c r="A149" t="s">
        <v>229</v>
      </c>
      <c r="B149" t="s">
        <v>7</v>
      </c>
      <c r="C149" s="3">
        <v>154</v>
      </c>
      <c r="D149">
        <v>0.08</v>
      </c>
      <c r="E149">
        <v>0.05</v>
      </c>
      <c r="F149">
        <v>0.03</v>
      </c>
      <c r="G149" t="str">
        <f>B149&amp;"."&amp;A149</f>
        <v>bos.BOS_SD_FTOItem</v>
      </c>
      <c r="H149" t="s">
        <v>451</v>
      </c>
    </row>
    <row r="150" spans="1:8" x14ac:dyDescent="0.3">
      <c r="A150" t="s">
        <v>384</v>
      </c>
      <c r="B150" t="s">
        <v>7</v>
      </c>
      <c r="C150">
        <v>0</v>
      </c>
      <c r="D150">
        <v>0</v>
      </c>
      <c r="E150">
        <v>0</v>
      </c>
      <c r="F150">
        <v>0</v>
      </c>
      <c r="G150" t="str">
        <f>B150&amp;"."&amp;A150</f>
        <v>bos.BOS_SD_FTONOO</v>
      </c>
      <c r="H150" t="s">
        <v>450</v>
      </c>
    </row>
    <row r="151" spans="1:8" x14ac:dyDescent="0.3">
      <c r="A151" t="s">
        <v>385</v>
      </c>
      <c r="B151" t="s">
        <v>7</v>
      </c>
      <c r="C151">
        <v>0</v>
      </c>
      <c r="D151">
        <v>0</v>
      </c>
      <c r="E151">
        <v>0</v>
      </c>
      <c r="F151">
        <v>0</v>
      </c>
      <c r="G151" t="str">
        <f>B151&amp;"."&amp;A151</f>
        <v>bos.BOS_SD_FTONOOItem</v>
      </c>
      <c r="H151" t="s">
        <v>452</v>
      </c>
    </row>
    <row r="152" spans="1:8" x14ac:dyDescent="0.3">
      <c r="A152" t="s">
        <v>230</v>
      </c>
      <c r="B152" t="s">
        <v>7</v>
      </c>
      <c r="C152" s="3">
        <v>1</v>
      </c>
      <c r="D152">
        <v>0.08</v>
      </c>
      <c r="E152">
        <v>0.02</v>
      </c>
      <c r="F152">
        <v>0.05</v>
      </c>
      <c r="G152" t="str">
        <f>B152&amp;"."&amp;A152</f>
        <v>bos.BOS_SD_FTOOOR</v>
      </c>
      <c r="H152" t="s">
        <v>450</v>
      </c>
    </row>
    <row r="153" spans="1:8" x14ac:dyDescent="0.3">
      <c r="A153" t="s">
        <v>383</v>
      </c>
      <c r="B153" t="s">
        <v>7</v>
      </c>
      <c r="C153">
        <v>0</v>
      </c>
      <c r="D153">
        <v>0</v>
      </c>
      <c r="E153">
        <v>0</v>
      </c>
      <c r="F153">
        <v>0</v>
      </c>
      <c r="G153" t="str">
        <f>B153&amp;"."&amp;A153</f>
        <v>bos.BOS_SD_FTOOORItem</v>
      </c>
      <c r="H153" t="s">
        <v>453</v>
      </c>
    </row>
    <row r="154" spans="1:8" x14ac:dyDescent="0.3">
      <c r="A154" t="s">
        <v>139</v>
      </c>
      <c r="B154" t="s">
        <v>7</v>
      </c>
      <c r="C154" s="3">
        <v>7295</v>
      </c>
      <c r="D154">
        <v>5.33</v>
      </c>
      <c r="E154">
        <v>4.05</v>
      </c>
      <c r="F154">
        <v>1.28</v>
      </c>
      <c r="G154" t="str">
        <f>B154&amp;"."&amp;A154</f>
        <v>bos.BOS_SD_MGM_Area</v>
      </c>
    </row>
    <row r="155" spans="1:8" x14ac:dyDescent="0.3">
      <c r="A155" t="s">
        <v>22</v>
      </c>
      <c r="B155" t="s">
        <v>7</v>
      </c>
      <c r="C155" s="3">
        <v>51627275</v>
      </c>
      <c r="D155">
        <v>14389.34</v>
      </c>
      <c r="E155">
        <v>14386.5</v>
      </c>
      <c r="F155">
        <v>2.84</v>
      </c>
      <c r="G155" t="str">
        <f>B155&amp;"."&amp;A155</f>
        <v>bos.BOS_SD_RemainStockInCust</v>
      </c>
      <c r="H155" t="s">
        <v>425</v>
      </c>
    </row>
    <row r="156" spans="1:8" x14ac:dyDescent="0.3">
      <c r="A156" t="s">
        <v>12</v>
      </c>
      <c r="B156" t="s">
        <v>7</v>
      </c>
      <c r="C156" s="3">
        <v>111136825</v>
      </c>
      <c r="D156">
        <v>32237.73</v>
      </c>
      <c r="E156">
        <v>32222.31</v>
      </c>
      <c r="F156">
        <v>15.41</v>
      </c>
      <c r="G156" t="str">
        <f>B156&amp;"."&amp;A156</f>
        <v>bos.BOS_SD_RemainStockInCustItem</v>
      </c>
      <c r="H156" t="s">
        <v>424</v>
      </c>
    </row>
    <row r="157" spans="1:8" x14ac:dyDescent="0.3">
      <c r="A157" t="s">
        <v>158</v>
      </c>
      <c r="B157" t="s">
        <v>7</v>
      </c>
      <c r="C157" s="3">
        <v>6327</v>
      </c>
      <c r="D157">
        <v>1.84</v>
      </c>
      <c r="E157">
        <v>1.68</v>
      </c>
      <c r="F157">
        <v>0.16</v>
      </c>
      <c r="G157" t="str">
        <f>B157&amp;"."&amp;A157</f>
        <v>bos.BOS_SD_Route</v>
      </c>
      <c r="H157" t="s">
        <v>427</v>
      </c>
    </row>
    <row r="158" spans="1:8" x14ac:dyDescent="0.3">
      <c r="A158" t="s">
        <v>120</v>
      </c>
      <c r="B158" t="s">
        <v>7</v>
      </c>
      <c r="C158" s="3">
        <v>155991</v>
      </c>
      <c r="D158">
        <v>16.78</v>
      </c>
      <c r="E158">
        <v>16.66</v>
      </c>
      <c r="F158">
        <v>0.13</v>
      </c>
      <c r="G158" t="str">
        <f>B158&amp;"."&amp;A158</f>
        <v>bos.BOS_SD_RouteItem</v>
      </c>
      <c r="H158" t="s">
        <v>428</v>
      </c>
    </row>
    <row r="159" spans="1:8" x14ac:dyDescent="0.3">
      <c r="A159" t="s">
        <v>267</v>
      </c>
      <c r="B159" t="s">
        <v>7</v>
      </c>
      <c r="C159" s="3">
        <v>121</v>
      </c>
      <c r="D159">
        <v>7.0000000000000007E-2</v>
      </c>
      <c r="E159">
        <v>0.05</v>
      </c>
      <c r="F159">
        <v>0.02</v>
      </c>
      <c r="G159" t="str">
        <f>B159&amp;"."&amp;A159</f>
        <v>bos.BOS_SD_SalesOrganization</v>
      </c>
      <c r="H159" t="s">
        <v>427</v>
      </c>
    </row>
    <row r="160" spans="1:8" x14ac:dyDescent="0.3">
      <c r="A160" t="s">
        <v>217</v>
      </c>
      <c r="B160" t="s">
        <v>7</v>
      </c>
      <c r="C160" s="3">
        <v>154</v>
      </c>
      <c r="D160">
        <v>0.2</v>
      </c>
      <c r="E160">
        <v>7.0000000000000007E-2</v>
      </c>
      <c r="F160">
        <v>0.13</v>
      </c>
      <c r="G160" t="str">
        <f>B160&amp;"."&amp;A160</f>
        <v>bos.BOS_SD_TOTracking</v>
      </c>
      <c r="H160" t="s">
        <v>431</v>
      </c>
    </row>
    <row r="161" spans="1:8" x14ac:dyDescent="0.3">
      <c r="A161" t="s">
        <v>154</v>
      </c>
      <c r="B161" t="s">
        <v>7</v>
      </c>
      <c r="C161" s="3">
        <v>16375</v>
      </c>
      <c r="D161">
        <v>2.27</v>
      </c>
      <c r="E161">
        <v>1.99</v>
      </c>
      <c r="F161">
        <v>0.27</v>
      </c>
      <c r="G161" t="str">
        <f>B161&amp;"."&amp;A161</f>
        <v>bos.BOS_SD_TOTrackingProduct</v>
      </c>
      <c r="H161" t="s">
        <v>432</v>
      </c>
    </row>
    <row r="162" spans="1:8" x14ac:dyDescent="0.3">
      <c r="A162" t="s">
        <v>96</v>
      </c>
      <c r="B162" t="s">
        <v>7</v>
      </c>
      <c r="C162" s="3">
        <v>198786</v>
      </c>
      <c r="D162">
        <v>59.61</v>
      </c>
      <c r="E162">
        <v>57.89</v>
      </c>
      <c r="F162">
        <v>1.72</v>
      </c>
      <c r="G162" t="str">
        <f>B162&amp;"."&amp;A162</f>
        <v>bos.BOS_SM_ConfigInfoItem</v>
      </c>
    </row>
    <row r="163" spans="1:8" x14ac:dyDescent="0.3">
      <c r="A163" t="s">
        <v>279</v>
      </c>
      <c r="B163" t="s">
        <v>7</v>
      </c>
      <c r="C163" s="3">
        <v>6</v>
      </c>
      <c r="D163">
        <v>7.0000000000000007E-2</v>
      </c>
      <c r="E163">
        <v>0.02</v>
      </c>
      <c r="F163">
        <v>0.05</v>
      </c>
      <c r="G163" t="str">
        <f>B163&amp;"."&amp;A163</f>
        <v>bos.BOS_SM_ConfigItemType</v>
      </c>
    </row>
    <row r="164" spans="1:8" x14ac:dyDescent="0.3">
      <c r="A164" t="s">
        <v>223</v>
      </c>
      <c r="B164" t="s">
        <v>7</v>
      </c>
      <c r="C164" s="3">
        <v>258</v>
      </c>
      <c r="D164">
        <v>0.14000000000000001</v>
      </c>
      <c r="E164">
        <v>0.09</v>
      </c>
      <c r="F164">
        <v>0.05</v>
      </c>
      <c r="G164" t="str">
        <f>B164&amp;"."&amp;A164</f>
        <v>bos.BOS_SM_ConfigTemplate</v>
      </c>
    </row>
    <row r="165" spans="1:8" x14ac:dyDescent="0.3">
      <c r="A165" t="s">
        <v>172</v>
      </c>
      <c r="B165" t="s">
        <v>7</v>
      </c>
      <c r="C165" s="3">
        <v>1790</v>
      </c>
      <c r="D165">
        <v>0.8</v>
      </c>
      <c r="E165">
        <v>0.62</v>
      </c>
      <c r="F165">
        <v>0.18</v>
      </c>
      <c r="G165" t="str">
        <f>B165&amp;"."&amp;A165</f>
        <v>bos.BOS_SM_ConfigTemplateItem</v>
      </c>
    </row>
    <row r="166" spans="1:8" x14ac:dyDescent="0.3">
      <c r="A166" t="s">
        <v>204</v>
      </c>
      <c r="B166" t="s">
        <v>7</v>
      </c>
      <c r="C166" s="3">
        <v>1040</v>
      </c>
      <c r="D166">
        <v>0.21</v>
      </c>
      <c r="E166">
        <v>0.1</v>
      </c>
      <c r="F166">
        <v>0.11</v>
      </c>
      <c r="G166" t="str">
        <f>B166&amp;"."&amp;A166</f>
        <v>bos.BOS_SM_GroupUser</v>
      </c>
    </row>
    <row r="167" spans="1:8" x14ac:dyDescent="0.3">
      <c r="A167" t="s">
        <v>186</v>
      </c>
      <c r="B167" t="s">
        <v>7</v>
      </c>
      <c r="C167" s="3">
        <v>2201</v>
      </c>
      <c r="D167">
        <v>0.52</v>
      </c>
      <c r="E167">
        <v>0.36</v>
      </c>
      <c r="F167">
        <v>0.16</v>
      </c>
      <c r="G167" t="str">
        <f>B167&amp;"."&amp;A167</f>
        <v>bos.BOS_SM_User</v>
      </c>
    </row>
    <row r="168" spans="1:8" x14ac:dyDescent="0.3">
      <c r="A168" t="s">
        <v>199</v>
      </c>
      <c r="B168" t="s">
        <v>7</v>
      </c>
      <c r="C168" s="3">
        <v>167</v>
      </c>
      <c r="D168">
        <v>0.28000000000000003</v>
      </c>
      <c r="E168">
        <v>0.16</v>
      </c>
      <c r="F168">
        <v>0.13</v>
      </c>
      <c r="G168" t="str">
        <f>B168&amp;"."&amp;A168</f>
        <v>bos.DW_GL_Workplace</v>
      </c>
    </row>
    <row r="169" spans="1:8" x14ac:dyDescent="0.3">
      <c r="A169" t="s">
        <v>163</v>
      </c>
      <c r="B169" t="s">
        <v>7</v>
      </c>
      <c r="C169" s="3">
        <v>415</v>
      </c>
      <c r="D169">
        <v>1.41</v>
      </c>
      <c r="E169">
        <v>1.05</v>
      </c>
      <c r="F169">
        <v>0.36</v>
      </c>
      <c r="G169" t="str">
        <f>B169&amp;"."&amp;A169</f>
        <v>bos.JTI_AddonNGE_ProgramVoucherRetail</v>
      </c>
    </row>
    <row r="170" spans="1:8" x14ac:dyDescent="0.3">
      <c r="A170" t="s">
        <v>191</v>
      </c>
      <c r="B170" t="s">
        <v>7</v>
      </c>
      <c r="C170" s="3">
        <v>1077</v>
      </c>
      <c r="D170">
        <v>0.42</v>
      </c>
      <c r="E170">
        <v>0.28000000000000003</v>
      </c>
      <c r="F170">
        <v>0.14000000000000001</v>
      </c>
      <c r="G170" t="str">
        <f>B170&amp;"."&amp;A170</f>
        <v>bos.JTI_AddonNGE_ProgramVoucherRetailBudgetWorkplace</v>
      </c>
    </row>
    <row r="171" spans="1:8" x14ac:dyDescent="0.3">
      <c r="A171" t="s">
        <v>82</v>
      </c>
      <c r="B171" t="s">
        <v>7</v>
      </c>
      <c r="C171" s="3">
        <v>229545</v>
      </c>
      <c r="D171">
        <v>184.3</v>
      </c>
      <c r="E171">
        <v>183.78</v>
      </c>
      <c r="F171">
        <v>0.52</v>
      </c>
      <c r="G171" t="str">
        <f>B171&amp;"."&amp;A171</f>
        <v>bos.JTI_AddonNGE_VoucherRetail</v>
      </c>
    </row>
    <row r="172" spans="1:8" x14ac:dyDescent="0.3">
      <c r="A172" t="s">
        <v>88</v>
      </c>
      <c r="B172" t="s">
        <v>7</v>
      </c>
      <c r="C172">
        <v>0</v>
      </c>
      <c r="D172">
        <v>0</v>
      </c>
      <c r="E172">
        <v>0</v>
      </c>
      <c r="F172">
        <v>0</v>
      </c>
      <c r="G172" t="str">
        <f>B172&amp;"."&amp;A172</f>
        <v>bos.jti_ar_custsales</v>
      </c>
    </row>
    <row r="173" spans="1:8" x14ac:dyDescent="0.3">
      <c r="A173" t="s">
        <v>259</v>
      </c>
      <c r="B173" t="s">
        <v>7</v>
      </c>
      <c r="C173" s="3">
        <v>58</v>
      </c>
      <c r="D173">
        <v>7.0000000000000007E-2</v>
      </c>
      <c r="E173">
        <v>0.02</v>
      </c>
      <c r="F173">
        <v>0.05</v>
      </c>
      <c r="G173" t="str">
        <f>B173&amp;"."&amp;A173</f>
        <v>bos.JTI_BI_EmployeeCoverage</v>
      </c>
    </row>
    <row r="174" spans="1:8" x14ac:dyDescent="0.3">
      <c r="A174" t="s">
        <v>260</v>
      </c>
      <c r="B174" t="s">
        <v>7</v>
      </c>
      <c r="C174" s="3">
        <v>53</v>
      </c>
      <c r="D174">
        <v>7.0000000000000007E-2</v>
      </c>
      <c r="E174">
        <v>0.02</v>
      </c>
      <c r="F174">
        <v>0.05</v>
      </c>
      <c r="G174" t="str">
        <f>B174&amp;"."&amp;A174</f>
        <v>bos.JTI_BI_EmployeeLevel</v>
      </c>
    </row>
    <row r="175" spans="1:8" x14ac:dyDescent="0.3">
      <c r="A175" t="s">
        <v>261</v>
      </c>
      <c r="B175" t="s">
        <v>7</v>
      </c>
      <c r="C175" s="3">
        <v>48</v>
      </c>
      <c r="D175">
        <v>7.0000000000000007E-2</v>
      </c>
      <c r="E175">
        <v>0.03</v>
      </c>
      <c r="F175">
        <v>0.04</v>
      </c>
      <c r="G175" t="str">
        <f>B175&amp;"."&amp;A175</f>
        <v>bos.JTI_CUST_TRACKING</v>
      </c>
    </row>
    <row r="176" spans="1:8" x14ac:dyDescent="0.3">
      <c r="A176" t="s">
        <v>350</v>
      </c>
      <c r="B176" t="s">
        <v>7</v>
      </c>
      <c r="C176">
        <v>0</v>
      </c>
      <c r="D176">
        <v>0</v>
      </c>
      <c r="E176">
        <v>0</v>
      </c>
      <c r="F176">
        <v>0</v>
      </c>
      <c r="G176" t="str">
        <f>B176&amp;"."&amp;A176</f>
        <v>bos.JTI_EmployeeOlapAnchor</v>
      </c>
    </row>
    <row r="177" spans="1:8" x14ac:dyDescent="0.3">
      <c r="A177" t="s">
        <v>351</v>
      </c>
      <c r="B177" t="s">
        <v>7</v>
      </c>
      <c r="C177">
        <v>0</v>
      </c>
      <c r="D177">
        <v>0</v>
      </c>
      <c r="E177">
        <v>0</v>
      </c>
      <c r="F177">
        <v>0</v>
      </c>
      <c r="G177" t="str">
        <f>B177&amp;"."&amp;A177</f>
        <v>bos.JTI_GL_WorkplaceMapping</v>
      </c>
    </row>
    <row r="178" spans="1:8" x14ac:dyDescent="0.3">
      <c r="A178" t="s">
        <v>258</v>
      </c>
      <c r="B178" t="s">
        <v>7</v>
      </c>
      <c r="C178" s="3">
        <v>40</v>
      </c>
      <c r="D178">
        <v>7.0000000000000007E-2</v>
      </c>
      <c r="E178">
        <v>0.02</v>
      </c>
      <c r="F178">
        <v>0.05</v>
      </c>
      <c r="G178" t="str">
        <f>B178&amp;"."&amp;A178</f>
        <v>bos.JTI_INV_ProductBrandMapping</v>
      </c>
    </row>
    <row r="179" spans="1:8" x14ac:dyDescent="0.3">
      <c r="A179" t="s">
        <v>52</v>
      </c>
      <c r="B179" t="s">
        <v>7</v>
      </c>
      <c r="C179" s="3">
        <v>864926</v>
      </c>
      <c r="D179">
        <v>918.51</v>
      </c>
      <c r="E179">
        <v>916.91</v>
      </c>
      <c r="F179">
        <v>1.6</v>
      </c>
      <c r="G179" t="str">
        <f>B179&amp;"."&amp;A179</f>
        <v>bos.JTI_MD_CustomerModis</v>
      </c>
    </row>
    <row r="180" spans="1:8" x14ac:dyDescent="0.3">
      <c r="A180" t="s">
        <v>81</v>
      </c>
      <c r="B180" t="s">
        <v>7</v>
      </c>
      <c r="C180" s="3">
        <v>388875</v>
      </c>
      <c r="D180">
        <v>193.27</v>
      </c>
      <c r="E180">
        <v>189.66</v>
      </c>
      <c r="F180">
        <v>3.61</v>
      </c>
      <c r="G180" t="str">
        <f>B180&amp;"."&amp;A180</f>
        <v>bos.JTI_MD_NOOFSurvey</v>
      </c>
      <c r="H180" t="s">
        <v>411</v>
      </c>
    </row>
    <row r="181" spans="1:8" x14ac:dyDescent="0.3">
      <c r="A181" t="s">
        <v>32</v>
      </c>
      <c r="B181" t="s">
        <v>7</v>
      </c>
      <c r="C181" s="3">
        <v>10212901</v>
      </c>
      <c r="D181">
        <v>7417.65</v>
      </c>
      <c r="E181">
        <v>7412.81</v>
      </c>
      <c r="F181">
        <v>4.84</v>
      </c>
      <c r="G181" t="str">
        <f>B181&amp;"."&amp;A181</f>
        <v>bos.JTI_MD_NOOFSurveyItem</v>
      </c>
      <c r="H181" t="s">
        <v>411</v>
      </c>
    </row>
    <row r="182" spans="1:8" x14ac:dyDescent="0.3">
      <c r="A182" t="s">
        <v>77</v>
      </c>
      <c r="B182" t="s">
        <v>7</v>
      </c>
      <c r="C182" s="3">
        <v>387348</v>
      </c>
      <c r="D182">
        <v>250.27</v>
      </c>
      <c r="E182">
        <v>246.96</v>
      </c>
      <c r="F182">
        <v>3.31</v>
      </c>
      <c r="G182" t="str">
        <f>B182&amp;"."&amp;A182</f>
        <v>bos.JTI_MD_NOORegistrationMonitoring</v>
      </c>
      <c r="H182" t="s">
        <v>427</v>
      </c>
    </row>
    <row r="183" spans="1:8" x14ac:dyDescent="0.3">
      <c r="A183" t="s">
        <v>256</v>
      </c>
      <c r="B183" t="s">
        <v>7</v>
      </c>
      <c r="C183" s="3">
        <v>38</v>
      </c>
      <c r="D183">
        <v>7.0000000000000007E-2</v>
      </c>
      <c r="E183">
        <v>0.02</v>
      </c>
      <c r="F183">
        <v>0.05</v>
      </c>
      <c r="G183" t="str">
        <f>B183&amp;"."&amp;A183</f>
        <v>bos.JTI_MD_NOOSurveyInputSelection</v>
      </c>
    </row>
    <row r="184" spans="1:8" x14ac:dyDescent="0.3">
      <c r="A184" t="s">
        <v>255</v>
      </c>
      <c r="B184" t="s">
        <v>7</v>
      </c>
      <c r="C184" s="3">
        <v>186</v>
      </c>
      <c r="D184">
        <v>7.0000000000000007E-2</v>
      </c>
      <c r="E184">
        <v>0.05</v>
      </c>
      <c r="F184">
        <v>0.02</v>
      </c>
      <c r="G184" t="str">
        <f>B184&amp;"."&amp;A184</f>
        <v>bos.JTI_MD_NOOSurveyInputSelectionItem</v>
      </c>
    </row>
    <row r="185" spans="1:8" x14ac:dyDescent="0.3">
      <c r="A185" t="s">
        <v>135</v>
      </c>
      <c r="B185" t="s">
        <v>7</v>
      </c>
      <c r="C185" s="3">
        <v>15483</v>
      </c>
      <c r="D185">
        <v>6.09</v>
      </c>
      <c r="E185">
        <v>5.91</v>
      </c>
      <c r="F185">
        <v>0.18</v>
      </c>
      <c r="G185" t="str">
        <f>B185&amp;"."&amp;A185</f>
        <v>bos.JTI_MD_NOOSurveyQuestion</v>
      </c>
    </row>
    <row r="186" spans="1:8" x14ac:dyDescent="0.3">
      <c r="A186" t="s">
        <v>253</v>
      </c>
      <c r="B186" t="s">
        <v>7</v>
      </c>
      <c r="C186" s="3">
        <v>38</v>
      </c>
      <c r="D186">
        <v>7.0000000000000007E-2</v>
      </c>
      <c r="E186">
        <v>0.02</v>
      </c>
      <c r="F186">
        <v>0.05</v>
      </c>
      <c r="G186" t="str">
        <f>B186&amp;"."&amp;A186</f>
        <v>bos.JTI_MSLeadDashboard_CustCategoryMapping</v>
      </c>
    </row>
    <row r="187" spans="1:8" x14ac:dyDescent="0.3">
      <c r="A187" t="s">
        <v>254</v>
      </c>
      <c r="B187" t="s">
        <v>7</v>
      </c>
      <c r="C187" s="3">
        <v>47</v>
      </c>
      <c r="D187">
        <v>7.0000000000000007E-2</v>
      </c>
      <c r="E187">
        <v>0.02</v>
      </c>
      <c r="F187">
        <v>0.05</v>
      </c>
      <c r="G187" t="str">
        <f>B187&amp;"."&amp;A187</f>
        <v>bos.JTI_MSLeadDashboard_ExcludeMapping</v>
      </c>
    </row>
    <row r="188" spans="1:8" x14ac:dyDescent="0.3">
      <c r="A188" t="s">
        <v>227</v>
      </c>
      <c r="B188" t="s">
        <v>7</v>
      </c>
      <c r="C188" s="3">
        <v>533</v>
      </c>
      <c r="D188">
        <v>0.14000000000000001</v>
      </c>
      <c r="E188">
        <v>0.09</v>
      </c>
      <c r="F188">
        <v>0.05</v>
      </c>
      <c r="G188" t="str">
        <f>B188&amp;"."&amp;A188</f>
        <v>bos.JTI_MSLeadDashboard_WorkplaceMapping</v>
      </c>
    </row>
    <row r="189" spans="1:8" x14ac:dyDescent="0.3">
      <c r="A189" t="s">
        <v>355</v>
      </c>
      <c r="B189" t="s">
        <v>7</v>
      </c>
      <c r="C189">
        <v>0</v>
      </c>
      <c r="D189">
        <v>0</v>
      </c>
      <c r="E189">
        <v>0</v>
      </c>
      <c r="F189">
        <v>0</v>
      </c>
      <c r="G189" t="str">
        <f>B189&amp;"."&amp;A189</f>
        <v>bos.JTI_OlapAnchor</v>
      </c>
    </row>
    <row r="190" spans="1:8" x14ac:dyDescent="0.3">
      <c r="A190" t="s">
        <v>356</v>
      </c>
      <c r="B190" t="s">
        <v>7</v>
      </c>
      <c r="C190">
        <v>0</v>
      </c>
      <c r="D190">
        <v>0</v>
      </c>
      <c r="E190">
        <v>0</v>
      </c>
      <c r="F190">
        <v>0</v>
      </c>
      <c r="G190" t="str">
        <f>B190&amp;"."&amp;A190</f>
        <v>bos.JTI_OlapAnchorSummary</v>
      </c>
    </row>
    <row r="191" spans="1:8" x14ac:dyDescent="0.3">
      <c r="A191" t="s">
        <v>138</v>
      </c>
      <c r="B191" t="s">
        <v>7</v>
      </c>
      <c r="C191" s="3">
        <v>6187</v>
      </c>
      <c r="D191">
        <v>5.5</v>
      </c>
      <c r="E191">
        <v>4.88</v>
      </c>
      <c r="F191">
        <v>0.62</v>
      </c>
      <c r="G191" t="str">
        <f>B191&amp;"."&amp;A191</f>
        <v>bos.JTI_PI_FEmployee</v>
      </c>
    </row>
    <row r="192" spans="1:8" x14ac:dyDescent="0.3">
      <c r="A192" t="s">
        <v>357</v>
      </c>
      <c r="B192" t="s">
        <v>7</v>
      </c>
      <c r="C192">
        <v>0</v>
      </c>
      <c r="D192">
        <v>0</v>
      </c>
      <c r="E192">
        <v>0</v>
      </c>
      <c r="F192">
        <v>0</v>
      </c>
      <c r="G192" t="str">
        <f>B192&amp;"."&amp;A192</f>
        <v>bos.JTI_Preprocess_OlapLog</v>
      </c>
    </row>
    <row r="193" spans="1:8" x14ac:dyDescent="0.3">
      <c r="A193" t="s">
        <v>93</v>
      </c>
      <c r="B193" t="s">
        <v>7</v>
      </c>
      <c r="C193" s="3">
        <v>369393</v>
      </c>
      <c r="D193">
        <v>79.489999999999995</v>
      </c>
      <c r="E193">
        <v>72.95</v>
      </c>
      <c r="F193">
        <v>6.55</v>
      </c>
      <c r="G193" t="str">
        <f>B193&amp;"."&amp;A193</f>
        <v>bos.JTI_SCW_Stock</v>
      </c>
      <c r="H193" t="s">
        <v>411</v>
      </c>
    </row>
    <row r="194" spans="1:8" x14ac:dyDescent="0.3">
      <c r="A194" t="s">
        <v>358</v>
      </c>
      <c r="B194" t="s">
        <v>7</v>
      </c>
      <c r="C194">
        <v>0</v>
      </c>
      <c r="D194">
        <v>0</v>
      </c>
      <c r="E194">
        <v>0</v>
      </c>
      <c r="F194">
        <v>0</v>
      </c>
      <c r="G194" t="str">
        <f>B194&amp;"."&amp;A194</f>
        <v>bos.JTI_SD_BrandDist</v>
      </c>
    </row>
    <row r="195" spans="1:8" x14ac:dyDescent="0.3">
      <c r="A195" t="s">
        <v>36</v>
      </c>
      <c r="B195" t="s">
        <v>7</v>
      </c>
      <c r="C195" s="3">
        <v>19398456</v>
      </c>
      <c r="D195">
        <v>5484.38</v>
      </c>
      <c r="E195">
        <v>5482.56</v>
      </c>
      <c r="F195">
        <v>1.81</v>
      </c>
      <c r="G195" t="str">
        <f>B195&amp;"."&amp;A195</f>
        <v>bos.JTI_SD_BrandDistCustomerCoverage</v>
      </c>
      <c r="H195" t="s">
        <v>437</v>
      </c>
    </row>
    <row r="196" spans="1:8" x14ac:dyDescent="0.3">
      <c r="A196" t="s">
        <v>10</v>
      </c>
      <c r="B196" t="s">
        <v>7</v>
      </c>
      <c r="C196" s="3">
        <v>223821032</v>
      </c>
      <c r="D196">
        <v>36574.11</v>
      </c>
      <c r="E196">
        <v>36459.85</v>
      </c>
      <c r="F196">
        <v>114.26</v>
      </c>
      <c r="G196" t="str">
        <f>B196&amp;"."&amp;A196</f>
        <v>bos.JTI_SD_BrandDistDetail</v>
      </c>
      <c r="H196" t="s">
        <v>411</v>
      </c>
    </row>
    <row r="197" spans="1:8" x14ac:dyDescent="0.3">
      <c r="A197" t="s">
        <v>38</v>
      </c>
      <c r="B197" t="s">
        <v>7</v>
      </c>
      <c r="C197" s="3">
        <v>17590989</v>
      </c>
      <c r="D197">
        <v>3921.19</v>
      </c>
      <c r="E197">
        <v>3740</v>
      </c>
      <c r="F197">
        <v>181.19</v>
      </c>
      <c r="G197" t="str">
        <f>B197&amp;"."&amp;A197</f>
        <v>bos.JTI_SD_BrandDistHeader</v>
      </c>
      <c r="H197" t="s">
        <v>434</v>
      </c>
    </row>
    <row r="198" spans="1:8" x14ac:dyDescent="0.3">
      <c r="A198" t="s">
        <v>21</v>
      </c>
      <c r="B198" t="s">
        <v>7</v>
      </c>
      <c r="C198" s="3">
        <v>42078741</v>
      </c>
      <c r="D198">
        <v>18684.62</v>
      </c>
      <c r="E198">
        <v>18680.419999999998</v>
      </c>
      <c r="F198">
        <v>4.2</v>
      </c>
      <c r="G198" t="str">
        <f>B198&amp;"."&amp;A198</f>
        <v>bos.JTI_SD_FdjrItemStatus</v>
      </c>
      <c r="H198" t="s">
        <v>442</v>
      </c>
    </row>
    <row r="199" spans="1:8" x14ac:dyDescent="0.3">
      <c r="A199" t="s">
        <v>34</v>
      </c>
      <c r="B199" t="s">
        <v>7</v>
      </c>
      <c r="C199" s="3">
        <v>32755292</v>
      </c>
      <c r="D199">
        <v>7086.74</v>
      </c>
      <c r="E199">
        <v>7086.69</v>
      </c>
      <c r="F199">
        <v>0.05</v>
      </c>
      <c r="G199" t="str">
        <f>B199&amp;"."&amp;A199</f>
        <v>bos.JTI_SD_FdjrItemStatus_new</v>
      </c>
      <c r="H199" t="s">
        <v>441</v>
      </c>
    </row>
    <row r="200" spans="1:8" x14ac:dyDescent="0.3">
      <c r="A200" t="s">
        <v>101</v>
      </c>
      <c r="B200" t="s">
        <v>7</v>
      </c>
      <c r="C200" s="3">
        <v>115414</v>
      </c>
      <c r="D200">
        <v>45.28</v>
      </c>
      <c r="E200">
        <v>43.67</v>
      </c>
      <c r="F200">
        <v>1.61</v>
      </c>
      <c r="G200" t="str">
        <f>B200&amp;"."&amp;A200</f>
        <v>bos.JTI_SD_FDjrNOO</v>
      </c>
      <c r="H200" t="s">
        <v>416</v>
      </c>
    </row>
    <row r="201" spans="1:8" x14ac:dyDescent="0.3">
      <c r="A201" t="s">
        <v>73</v>
      </c>
      <c r="B201" t="s">
        <v>7</v>
      </c>
      <c r="C201" s="3">
        <v>839232</v>
      </c>
      <c r="D201">
        <v>275.56</v>
      </c>
      <c r="E201">
        <v>273.74</v>
      </c>
      <c r="F201">
        <v>1.82</v>
      </c>
      <c r="G201" t="str">
        <f>B201&amp;"."&amp;A201</f>
        <v>bos.JTI_SD_FDjrNOOItem</v>
      </c>
      <c r="H201" t="s">
        <v>440</v>
      </c>
    </row>
    <row r="202" spans="1:8" x14ac:dyDescent="0.3">
      <c r="A202" t="s">
        <v>13</v>
      </c>
      <c r="B202" t="s">
        <v>7</v>
      </c>
      <c r="C202" s="3">
        <v>86748473</v>
      </c>
      <c r="D202">
        <v>25744.43</v>
      </c>
      <c r="E202">
        <v>24328.45</v>
      </c>
      <c r="F202">
        <v>1415.98</v>
      </c>
      <c r="G202" t="str">
        <f>B202&amp;"."&amp;A202</f>
        <v>bos.JTI_SD_RemainStockInCustomer</v>
      </c>
      <c r="H202" t="s">
        <v>411</v>
      </c>
    </row>
    <row r="203" spans="1:8" x14ac:dyDescent="0.3">
      <c r="A203" t="s">
        <v>6</v>
      </c>
      <c r="B203" t="s">
        <v>7</v>
      </c>
      <c r="C203" s="3">
        <v>387569331</v>
      </c>
      <c r="D203">
        <v>226800.86</v>
      </c>
      <c r="E203">
        <v>226751.82</v>
      </c>
      <c r="F203">
        <v>49.04</v>
      </c>
      <c r="G203" t="str">
        <f>B203&amp;"."&amp;A203</f>
        <v>bos.JTI_SD_SalesInformationbyBrand</v>
      </c>
      <c r="H203" t="s">
        <v>420</v>
      </c>
    </row>
    <row r="204" spans="1:8" x14ac:dyDescent="0.3">
      <c r="A204" t="s">
        <v>265</v>
      </c>
      <c r="B204" t="s">
        <v>7</v>
      </c>
      <c r="C204" s="3">
        <v>1</v>
      </c>
      <c r="D204">
        <v>7.0000000000000007E-2</v>
      </c>
      <c r="E204">
        <v>0.02</v>
      </c>
      <c r="F204">
        <v>0.05</v>
      </c>
      <c r="G204" t="str">
        <f>B204&amp;"."&amp;A204</f>
        <v>bos.JTI_SD_SalesmanActivityMapping</v>
      </c>
    </row>
    <row r="205" spans="1:8" x14ac:dyDescent="0.3">
      <c r="A205" t="s">
        <v>39</v>
      </c>
      <c r="B205" t="s">
        <v>7</v>
      </c>
      <c r="C205" s="3">
        <v>12643368</v>
      </c>
      <c r="D205">
        <v>3890.06</v>
      </c>
      <c r="E205">
        <v>3880.36</v>
      </c>
      <c r="F205">
        <v>9.6999999999999993</v>
      </c>
      <c r="G205" t="str">
        <f>B205&amp;"."&amp;A205</f>
        <v>bos.JTI_SD_SalesReport</v>
      </c>
      <c r="H205" t="s">
        <v>411</v>
      </c>
    </row>
    <row r="206" spans="1:8" x14ac:dyDescent="0.3">
      <c r="A206" t="s">
        <v>51</v>
      </c>
      <c r="B206" t="s">
        <v>7</v>
      </c>
      <c r="C206" s="3">
        <v>6174776</v>
      </c>
      <c r="D206">
        <v>1087.6500000000001</v>
      </c>
      <c r="E206">
        <v>1087.6099999999999</v>
      </c>
      <c r="F206">
        <v>0.04</v>
      </c>
      <c r="G206" t="str">
        <f>B206&amp;"."&amp;A206</f>
        <v>bos.JTI_SD_SalesReport_backup</v>
      </c>
      <c r="H206" t="s">
        <v>411</v>
      </c>
    </row>
    <row r="207" spans="1:8" x14ac:dyDescent="0.3">
      <c r="A207" t="s">
        <v>50</v>
      </c>
      <c r="B207" t="s">
        <v>7</v>
      </c>
      <c r="C207" s="3">
        <v>2341021</v>
      </c>
      <c r="D207">
        <v>2019.25</v>
      </c>
      <c r="E207">
        <v>2015.48</v>
      </c>
      <c r="F207">
        <v>3.77</v>
      </c>
      <c r="G207" t="str">
        <f>B207&amp;"."&amp;A207</f>
        <v>bos.JTI_SD_SummaryBrandDistDetail</v>
      </c>
      <c r="H207" t="s">
        <v>427</v>
      </c>
    </row>
    <row r="208" spans="1:8" x14ac:dyDescent="0.3">
      <c r="A208" t="s">
        <v>117</v>
      </c>
      <c r="B208" t="s">
        <v>7</v>
      </c>
      <c r="C208" s="3">
        <v>48156</v>
      </c>
      <c r="D208">
        <v>18.88</v>
      </c>
      <c r="E208">
        <v>16.54</v>
      </c>
      <c r="F208">
        <v>2.34</v>
      </c>
      <c r="G208" t="str">
        <f>B208&amp;"."&amp;A208</f>
        <v>bos.JTI_SD_SummaryBrandDistHeader</v>
      </c>
      <c r="H208" t="s">
        <v>427</v>
      </c>
    </row>
    <row r="209" spans="1:9" x14ac:dyDescent="0.3">
      <c r="A209" t="s">
        <v>37</v>
      </c>
      <c r="B209" t="s">
        <v>7</v>
      </c>
      <c r="C209" s="3">
        <v>3571352</v>
      </c>
      <c r="D209">
        <v>3986.43</v>
      </c>
      <c r="E209">
        <v>3983.1</v>
      </c>
      <c r="F209">
        <v>3.33</v>
      </c>
      <c r="G209" t="str">
        <f>B209&amp;"."&amp;A209</f>
        <v>bos.JTI_SD_SummarySalesInformationbyBrand</v>
      </c>
      <c r="H209" t="s">
        <v>427</v>
      </c>
    </row>
    <row r="210" spans="1:9" x14ac:dyDescent="0.3">
      <c r="A210" t="s">
        <v>95</v>
      </c>
      <c r="B210" t="s">
        <v>7</v>
      </c>
      <c r="C210" s="3">
        <v>176743</v>
      </c>
      <c r="D210">
        <v>60.64</v>
      </c>
      <c r="E210">
        <v>56.07</v>
      </c>
      <c r="F210">
        <v>4.57</v>
      </c>
      <c r="G210" t="str">
        <f>B210&amp;"."&amp;A210</f>
        <v>bos.JTI_SD_SummarySalesReportMonthly</v>
      </c>
      <c r="H210" t="s">
        <v>427</v>
      </c>
    </row>
    <row r="211" spans="1:9" x14ac:dyDescent="0.3">
      <c r="A211" t="s">
        <v>68</v>
      </c>
      <c r="B211" t="s">
        <v>7</v>
      </c>
      <c r="C211" s="3">
        <v>1037740</v>
      </c>
      <c r="D211">
        <v>332.99</v>
      </c>
      <c r="E211">
        <v>321.88</v>
      </c>
      <c r="F211">
        <v>11.11</v>
      </c>
      <c r="G211" t="str">
        <f>B211&amp;"."&amp;A211</f>
        <v>bos.JTI_SD_SummarySalesReportWeekly</v>
      </c>
      <c r="H211" t="s">
        <v>427</v>
      </c>
    </row>
    <row r="212" spans="1:9" x14ac:dyDescent="0.3">
      <c r="A212" t="s">
        <v>196</v>
      </c>
      <c r="B212" t="s">
        <v>7</v>
      </c>
      <c r="C212" s="3">
        <v>1484</v>
      </c>
      <c r="D212">
        <v>0.32</v>
      </c>
      <c r="E212">
        <v>0.2</v>
      </c>
      <c r="F212">
        <v>0.13</v>
      </c>
      <c r="G212" t="str">
        <f>B212&amp;"."&amp;A212</f>
        <v>bos.JTI_SD_TargetByBrand</v>
      </c>
      <c r="H212" t="s">
        <v>427</v>
      </c>
    </row>
    <row r="213" spans="1:9" x14ac:dyDescent="0.3">
      <c r="A213" t="s">
        <v>121</v>
      </c>
      <c r="B213" t="s">
        <v>7</v>
      </c>
      <c r="C213" s="3">
        <v>25725</v>
      </c>
      <c r="D213">
        <v>15.77</v>
      </c>
      <c r="E213">
        <v>15.16</v>
      </c>
      <c r="F213">
        <v>0.6</v>
      </c>
      <c r="G213" t="str">
        <f>B213&amp;"."&amp;A213</f>
        <v>bos.JTI_SPV_DailySchedule</v>
      </c>
      <c r="H213" t="s">
        <v>454</v>
      </c>
    </row>
    <row r="214" spans="1:9" x14ac:dyDescent="0.3">
      <c r="A214" t="s">
        <v>346</v>
      </c>
      <c r="B214" t="s">
        <v>7</v>
      </c>
      <c r="C214">
        <v>0</v>
      </c>
      <c r="D214">
        <v>0</v>
      </c>
      <c r="E214">
        <v>0</v>
      </c>
      <c r="F214">
        <v>0</v>
      </c>
      <c r="G214" t="str">
        <f>B214&amp;"."&amp;A214</f>
        <v>bos.JTI_SPV_DailyScheduleItem</v>
      </c>
      <c r="H214" t="s">
        <v>455</v>
      </c>
    </row>
    <row r="215" spans="1:9" x14ac:dyDescent="0.3">
      <c r="A215" t="s">
        <v>102</v>
      </c>
      <c r="B215" t="s">
        <v>7</v>
      </c>
      <c r="C215" s="3">
        <v>176857</v>
      </c>
      <c r="D215">
        <v>43.84</v>
      </c>
      <c r="E215">
        <v>43.33</v>
      </c>
      <c r="F215">
        <v>0.52</v>
      </c>
      <c r="G215" t="str">
        <f>B215&amp;"."&amp;A215</f>
        <v>bos.JTI_SPV_DailyScheduleItemDetail</v>
      </c>
      <c r="H215" t="s">
        <v>456</v>
      </c>
    </row>
    <row r="216" spans="1:9" x14ac:dyDescent="0.3">
      <c r="A216" t="s">
        <v>18</v>
      </c>
      <c r="B216" t="s">
        <v>7</v>
      </c>
      <c r="C216" s="3">
        <v>262276</v>
      </c>
      <c r="D216">
        <v>21513.43</v>
      </c>
      <c r="E216">
        <v>21512.66</v>
      </c>
      <c r="F216">
        <v>0.77</v>
      </c>
      <c r="G216" t="str">
        <f>B216&amp;"."&amp;A216</f>
        <v>bos.JTI_SPV_FSurvey</v>
      </c>
      <c r="H216" t="s">
        <v>411</v>
      </c>
    </row>
    <row r="217" spans="1:9" x14ac:dyDescent="0.3">
      <c r="A217" t="s">
        <v>47</v>
      </c>
      <c r="B217" t="s">
        <v>7</v>
      </c>
      <c r="C217" s="3">
        <v>5838559</v>
      </c>
      <c r="D217">
        <v>2405.69</v>
      </c>
      <c r="E217">
        <v>2404.9299999999998</v>
      </c>
      <c r="F217">
        <v>0.76</v>
      </c>
      <c r="G217" t="str">
        <f>B217&amp;"."&amp;A217</f>
        <v>bos.JTI_SPV_FSurveyItem</v>
      </c>
      <c r="H217" t="s">
        <v>457</v>
      </c>
    </row>
    <row r="218" spans="1:9" x14ac:dyDescent="0.3">
      <c r="A218" t="s">
        <v>345</v>
      </c>
      <c r="B218" t="s">
        <v>7</v>
      </c>
      <c r="C218">
        <v>0</v>
      </c>
      <c r="D218">
        <v>0</v>
      </c>
      <c r="E218">
        <v>0</v>
      </c>
      <c r="F218">
        <v>0</v>
      </c>
      <c r="G218" t="str">
        <f>B218&amp;"."&amp;A218</f>
        <v>bos.JTI_SPV_FSurveyItemPhoto</v>
      </c>
      <c r="H218" t="s">
        <v>458</v>
      </c>
    </row>
    <row r="219" spans="1:9" x14ac:dyDescent="0.3">
      <c r="A219" t="s">
        <v>44</v>
      </c>
      <c r="B219" t="s">
        <v>7</v>
      </c>
      <c r="C219" s="3">
        <v>4608572</v>
      </c>
      <c r="D219">
        <v>2594.16</v>
      </c>
      <c r="E219">
        <v>2593.31</v>
      </c>
      <c r="F219">
        <v>0.85</v>
      </c>
      <c r="G219" t="str">
        <f>B219&amp;"."&amp;A219</f>
        <v>bos.JTI_SPV_FSurveyQuestion</v>
      </c>
      <c r="H219" t="s">
        <v>459</v>
      </c>
    </row>
    <row r="220" spans="1:9" x14ac:dyDescent="0.3">
      <c r="A220" t="s">
        <v>151</v>
      </c>
      <c r="B220" t="s">
        <v>7</v>
      </c>
      <c r="C220" s="3">
        <v>6329</v>
      </c>
      <c r="D220">
        <v>3.07</v>
      </c>
      <c r="E220">
        <v>2.5499999999999998</v>
      </c>
      <c r="F220">
        <v>0.52</v>
      </c>
      <c r="G220" t="str">
        <f>B220&amp;"."&amp;A220</f>
        <v>bos.JTI_SPV_FWeeklyPlanCalendar</v>
      </c>
      <c r="H220" t="s">
        <v>427</v>
      </c>
    </row>
    <row r="221" spans="1:9" x14ac:dyDescent="0.3">
      <c r="A221" t="s">
        <v>132</v>
      </c>
      <c r="B221" t="s">
        <v>7</v>
      </c>
      <c r="C221" s="3">
        <v>37974</v>
      </c>
      <c r="D221">
        <v>7.02</v>
      </c>
      <c r="E221">
        <v>6.49</v>
      </c>
      <c r="F221">
        <v>0.52</v>
      </c>
      <c r="G221" t="str">
        <f>B221&amp;"."&amp;A221</f>
        <v>bos.JTI_SPV_FWeeklyPlanCalendarDay</v>
      </c>
      <c r="H221" t="s">
        <v>460</v>
      </c>
    </row>
    <row r="222" spans="1:9" x14ac:dyDescent="0.3">
      <c r="A222" t="s">
        <v>127</v>
      </c>
      <c r="B222" t="s">
        <v>7</v>
      </c>
      <c r="C222" s="3">
        <v>38002</v>
      </c>
      <c r="D222">
        <v>9.06</v>
      </c>
      <c r="E222">
        <v>8.3800000000000008</v>
      </c>
      <c r="F222">
        <v>0.68</v>
      </c>
      <c r="G222" t="str">
        <f>B222&amp;"."&amp;A222</f>
        <v>bos.JTI_SPV_FWeeklyPlanCalendarItem</v>
      </c>
      <c r="H222" t="s">
        <v>461</v>
      </c>
    </row>
    <row r="223" spans="1:9" x14ac:dyDescent="0.3">
      <c r="A223" t="s">
        <v>122</v>
      </c>
      <c r="B223" t="s">
        <v>7</v>
      </c>
      <c r="C223" s="3">
        <v>62402</v>
      </c>
      <c r="D223">
        <v>14.38</v>
      </c>
      <c r="E223">
        <v>13.75</v>
      </c>
      <c r="F223">
        <v>0.63</v>
      </c>
      <c r="G223" t="str">
        <f>B223&amp;"."&amp;A223</f>
        <v>bos.JTI_SPV_FWeeklyPlanCalendarItemDetail</v>
      </c>
      <c r="H223" t="s">
        <v>462</v>
      </c>
    </row>
    <row r="224" spans="1:9" x14ac:dyDescent="0.3">
      <c r="A224" t="s">
        <v>66</v>
      </c>
      <c r="B224" t="s">
        <v>7</v>
      </c>
      <c r="C224" s="3">
        <v>1303746</v>
      </c>
      <c r="D224">
        <v>393.06</v>
      </c>
      <c r="E224">
        <v>392.38</v>
      </c>
      <c r="F224">
        <v>0.69</v>
      </c>
      <c r="G224" t="str">
        <f>B224&amp;"."&amp;A224</f>
        <v>bos.JTI_SPV_JoinCallOutletPlan</v>
      </c>
      <c r="H224" t="s">
        <v>411</v>
      </c>
      <c r="I224" t="s">
        <v>463</v>
      </c>
    </row>
    <row r="225" spans="1:9" x14ac:dyDescent="0.3">
      <c r="A225" t="s">
        <v>84</v>
      </c>
      <c r="B225" t="s">
        <v>7</v>
      </c>
      <c r="C225" s="3">
        <v>204816</v>
      </c>
      <c r="D225">
        <v>138.62</v>
      </c>
      <c r="E225">
        <v>137.91</v>
      </c>
      <c r="F225">
        <v>0.71</v>
      </c>
      <c r="G225" t="str">
        <f>B225&amp;"."&amp;A225</f>
        <v>bos.JTI_SPV_JourneyCall</v>
      </c>
      <c r="H225" t="s">
        <v>427</v>
      </c>
      <c r="I225" t="s">
        <v>463</v>
      </c>
    </row>
    <row r="226" spans="1:9" x14ac:dyDescent="0.3">
      <c r="A226" t="s">
        <v>174</v>
      </c>
      <c r="B226" t="s">
        <v>7</v>
      </c>
      <c r="C226" s="3">
        <v>4247</v>
      </c>
      <c r="D226">
        <v>0.76</v>
      </c>
      <c r="E226">
        <v>0.53</v>
      </c>
      <c r="F226">
        <v>0.23</v>
      </c>
      <c r="G226" t="str">
        <f>B226&amp;"."&amp;A226</f>
        <v>bos.JTI_SPV_MappingAreaManager</v>
      </c>
    </row>
    <row r="227" spans="1:9" x14ac:dyDescent="0.3">
      <c r="A227" t="s">
        <v>262</v>
      </c>
      <c r="B227" t="s">
        <v>7</v>
      </c>
      <c r="C227" s="3">
        <v>3</v>
      </c>
      <c r="D227">
        <v>7.0000000000000007E-2</v>
      </c>
      <c r="E227">
        <v>0.02</v>
      </c>
      <c r="F227">
        <v>0.05</v>
      </c>
      <c r="G227" t="str">
        <f>B227&amp;"."&amp;A227</f>
        <v>bos.JTI_SPV_Scoring</v>
      </c>
    </row>
    <row r="228" spans="1:9" x14ac:dyDescent="0.3">
      <c r="A228" t="s">
        <v>226</v>
      </c>
      <c r="B228" t="s">
        <v>7</v>
      </c>
      <c r="C228" s="3">
        <v>325</v>
      </c>
      <c r="D228">
        <v>0.14000000000000001</v>
      </c>
      <c r="E228">
        <v>7.0000000000000007E-2</v>
      </c>
      <c r="F228">
        <v>7.0000000000000007E-2</v>
      </c>
      <c r="G228" t="str">
        <f>B228&amp;"."&amp;A228</f>
        <v>bos.JTI_SPV_Survey</v>
      </c>
    </row>
    <row r="229" spans="1:9" x14ac:dyDescent="0.3">
      <c r="A229" t="s">
        <v>169</v>
      </c>
      <c r="B229" t="s">
        <v>7</v>
      </c>
      <c r="C229" s="3">
        <v>1189</v>
      </c>
      <c r="D229">
        <v>0.96</v>
      </c>
      <c r="E229">
        <v>0.67</v>
      </c>
      <c r="F229">
        <v>0.28999999999999998</v>
      </c>
      <c r="G229" t="str">
        <f>B229&amp;"."&amp;A229</f>
        <v>bos.JTI_SPV_SurveyCustomerReport</v>
      </c>
    </row>
    <row r="230" spans="1:9" x14ac:dyDescent="0.3">
      <c r="A230" t="s">
        <v>347</v>
      </c>
      <c r="B230" t="s">
        <v>7</v>
      </c>
      <c r="C230">
        <v>0</v>
      </c>
      <c r="D230">
        <v>0</v>
      </c>
      <c r="E230">
        <v>0</v>
      </c>
      <c r="F230">
        <v>0</v>
      </c>
      <c r="G230" t="str">
        <f>B230&amp;"."&amp;A230</f>
        <v>bos.JTI_SPV_SurveyDetail</v>
      </c>
    </row>
    <row r="231" spans="1:9" x14ac:dyDescent="0.3">
      <c r="A231" t="s">
        <v>263</v>
      </c>
      <c r="B231" t="s">
        <v>7</v>
      </c>
      <c r="C231" s="3">
        <v>150</v>
      </c>
      <c r="D231">
        <v>7.0000000000000007E-2</v>
      </c>
      <c r="E231">
        <v>0.04</v>
      </c>
      <c r="F231">
        <v>0.03</v>
      </c>
      <c r="G231" t="str">
        <f>B231&amp;"."&amp;A231</f>
        <v>bos.JTI_SPV_SurveyInputSelection</v>
      </c>
    </row>
    <row r="232" spans="1:9" x14ac:dyDescent="0.3">
      <c r="A232" t="s">
        <v>264</v>
      </c>
      <c r="B232" t="s">
        <v>7</v>
      </c>
      <c r="C232" s="3">
        <v>149</v>
      </c>
      <c r="D232">
        <v>7.0000000000000007E-2</v>
      </c>
      <c r="E232">
        <v>0.05</v>
      </c>
      <c r="F232">
        <v>0.02</v>
      </c>
      <c r="G232" t="str">
        <f>B232&amp;"."&amp;A232</f>
        <v>bos.JTI_SPV_SurveyInputSelectionItem</v>
      </c>
    </row>
    <row r="233" spans="1:9" x14ac:dyDescent="0.3">
      <c r="A233" t="s">
        <v>206</v>
      </c>
      <c r="B233" t="s">
        <v>7</v>
      </c>
      <c r="C233" s="3">
        <v>67</v>
      </c>
      <c r="D233">
        <v>7.0000000000000007E-2</v>
      </c>
      <c r="E233">
        <v>0.04</v>
      </c>
      <c r="F233">
        <v>0.03</v>
      </c>
      <c r="G233" t="str">
        <f>B233&amp;"."&amp;A233</f>
        <v>bos.JTI_SPV_SurveyInputSelectionItemDetail</v>
      </c>
    </row>
    <row r="234" spans="1:9" x14ac:dyDescent="0.3">
      <c r="A234" t="s">
        <v>149</v>
      </c>
      <c r="B234" t="s">
        <v>7</v>
      </c>
      <c r="C234" s="3">
        <v>9973</v>
      </c>
      <c r="D234">
        <v>3.13</v>
      </c>
      <c r="E234">
        <v>2.74</v>
      </c>
      <c r="F234">
        <v>0.39</v>
      </c>
      <c r="G234" t="str">
        <f>B234&amp;"."&amp;A234</f>
        <v>bos.JTI_SPV_SurveyQuestion</v>
      </c>
    </row>
    <row r="235" spans="1:9" x14ac:dyDescent="0.3">
      <c r="A235" t="s">
        <v>143</v>
      </c>
      <c r="B235" t="s">
        <v>7</v>
      </c>
      <c r="C235" s="3">
        <v>26594</v>
      </c>
      <c r="D235">
        <v>4.5999999999999996</v>
      </c>
      <c r="E235">
        <v>3.7</v>
      </c>
      <c r="F235">
        <v>0.91</v>
      </c>
      <c r="G235" t="str">
        <f>B235&amp;"."&amp;A235</f>
        <v>bos.JTI_StockCoverWeek_WS</v>
      </c>
    </row>
    <row r="236" spans="1:9" x14ac:dyDescent="0.3">
      <c r="A236" t="s">
        <v>175</v>
      </c>
      <c r="B236" t="s">
        <v>7</v>
      </c>
      <c r="C236" s="3">
        <v>3897</v>
      </c>
      <c r="D236">
        <v>0.72</v>
      </c>
      <c r="E236">
        <v>0.5</v>
      </c>
      <c r="F236">
        <v>0.22</v>
      </c>
      <c r="G236" t="str">
        <f>B236&amp;"."&amp;A236</f>
        <v>bos.JTI_TM_Category</v>
      </c>
    </row>
    <row r="237" spans="1:9" x14ac:dyDescent="0.3">
      <c r="A237" t="s">
        <v>348</v>
      </c>
      <c r="B237" t="s">
        <v>7</v>
      </c>
      <c r="C237">
        <v>0</v>
      </c>
      <c r="D237">
        <v>0</v>
      </c>
      <c r="E237">
        <v>0</v>
      </c>
      <c r="F237">
        <v>0</v>
      </c>
      <c r="G237" t="str">
        <f>B237&amp;"."&amp;A237</f>
        <v>bos.JTI_TM_Channel</v>
      </c>
    </row>
    <row r="238" spans="1:9" x14ac:dyDescent="0.3">
      <c r="A238" t="s">
        <v>103</v>
      </c>
      <c r="B238" t="s">
        <v>7</v>
      </c>
      <c r="C238" s="3">
        <v>184108</v>
      </c>
      <c r="D238">
        <v>41.92</v>
      </c>
      <c r="E238">
        <v>41.28</v>
      </c>
      <c r="F238">
        <v>0.64</v>
      </c>
      <c r="G238" t="str">
        <f>B238&amp;"."&amp;A238</f>
        <v>bos.JTI_TM_Customer</v>
      </c>
    </row>
    <row r="239" spans="1:9" x14ac:dyDescent="0.3">
      <c r="A239" t="s">
        <v>162</v>
      </c>
      <c r="B239" t="s">
        <v>7</v>
      </c>
      <c r="C239" s="3">
        <v>3227</v>
      </c>
      <c r="D239">
        <v>1.41</v>
      </c>
      <c r="E239">
        <v>1.2</v>
      </c>
      <c r="F239">
        <v>0.21</v>
      </c>
      <c r="G239" t="str">
        <f>B239&amp;"."&amp;A239</f>
        <v>bos.JTI_TM_Experda</v>
      </c>
    </row>
    <row r="240" spans="1:9" x14ac:dyDescent="0.3">
      <c r="A240" t="s">
        <v>170</v>
      </c>
      <c r="B240" t="s">
        <v>7</v>
      </c>
      <c r="C240" s="3">
        <v>2067</v>
      </c>
      <c r="D240">
        <v>0.95</v>
      </c>
      <c r="E240">
        <v>0.71</v>
      </c>
      <c r="F240">
        <v>0.23</v>
      </c>
      <c r="G240" t="str">
        <f>B240&amp;"."&amp;A240</f>
        <v>bos.JTI_TM_Incentive</v>
      </c>
    </row>
    <row r="241" spans="1:7" x14ac:dyDescent="0.3">
      <c r="A241" t="s">
        <v>180</v>
      </c>
      <c r="B241" t="s">
        <v>7</v>
      </c>
      <c r="C241" s="3">
        <v>2275</v>
      </c>
      <c r="D241">
        <v>0.66</v>
      </c>
      <c r="E241">
        <v>0.66</v>
      </c>
      <c r="F241">
        <v>0</v>
      </c>
      <c r="G241" t="str">
        <f>B241&amp;"."&amp;A241</f>
        <v>bos.JTI_TM_PackExchange</v>
      </c>
    </row>
    <row r="242" spans="1:7" x14ac:dyDescent="0.3">
      <c r="A242" t="s">
        <v>144</v>
      </c>
      <c r="B242" t="s">
        <v>7</v>
      </c>
      <c r="C242" s="3">
        <v>4851</v>
      </c>
      <c r="D242">
        <v>4.59</v>
      </c>
      <c r="E242">
        <v>4.16</v>
      </c>
      <c r="F242">
        <v>0.44</v>
      </c>
      <c r="G242" t="str">
        <f>B242&amp;"."&amp;A242</f>
        <v>bos.JTI_TM_Program</v>
      </c>
    </row>
    <row r="243" spans="1:7" x14ac:dyDescent="0.3">
      <c r="A243" t="s">
        <v>65</v>
      </c>
      <c r="B243" t="s">
        <v>7</v>
      </c>
      <c r="C243" s="3">
        <v>1855190</v>
      </c>
      <c r="D243">
        <v>476.25</v>
      </c>
      <c r="E243">
        <v>475.88</v>
      </c>
      <c r="F243">
        <v>0.37</v>
      </c>
      <c r="G243" t="str">
        <f>B243&amp;"."&amp;A243</f>
        <v>bos.JTI_TM_Transaction</v>
      </c>
    </row>
    <row r="244" spans="1:7" x14ac:dyDescent="0.3">
      <c r="A244" t="s">
        <v>56</v>
      </c>
      <c r="B244" t="s">
        <v>7</v>
      </c>
      <c r="C244" s="3">
        <v>1551960</v>
      </c>
      <c r="D244">
        <v>739.52</v>
      </c>
      <c r="E244">
        <v>735.06</v>
      </c>
      <c r="F244">
        <v>4.46</v>
      </c>
      <c r="G244" t="str">
        <f>B244&amp;"."&amp;A244</f>
        <v>bos.JTI_TM_Voucher</v>
      </c>
    </row>
    <row r="245" spans="1:7" x14ac:dyDescent="0.3">
      <c r="A245" t="s">
        <v>126</v>
      </c>
      <c r="B245" t="s">
        <v>7</v>
      </c>
      <c r="C245" s="3">
        <v>9292</v>
      </c>
      <c r="D245">
        <v>9.5299999999999994</v>
      </c>
      <c r="E245">
        <v>9.52</v>
      </c>
      <c r="F245">
        <v>0.01</v>
      </c>
      <c r="G245" t="str">
        <f>B245&amp;"."&amp;A245</f>
        <v>bos.JTI_Tracking_PO</v>
      </c>
    </row>
    <row r="246" spans="1:7" x14ac:dyDescent="0.3">
      <c r="A246" t="s">
        <v>305</v>
      </c>
      <c r="B246" t="s">
        <v>7</v>
      </c>
      <c r="C246">
        <v>0</v>
      </c>
      <c r="D246">
        <v>0</v>
      </c>
      <c r="E246">
        <v>0</v>
      </c>
      <c r="F246">
        <v>0</v>
      </c>
      <c r="G246" t="str">
        <f>B246&amp;"."&amp;A246</f>
        <v>bos.NG_MART_ProductInfo</v>
      </c>
    </row>
    <row r="247" spans="1:7" x14ac:dyDescent="0.3">
      <c r="A247" t="s">
        <v>165</v>
      </c>
      <c r="B247" t="s">
        <v>7</v>
      </c>
      <c r="C247" s="3">
        <v>1757</v>
      </c>
      <c r="D247">
        <v>0.28000000000000003</v>
      </c>
      <c r="E247">
        <v>0.23</v>
      </c>
      <c r="F247">
        <v>0.05</v>
      </c>
      <c r="G247" t="str">
        <f>B247&amp;"."&amp;A247</f>
        <v>bos.PNL_AR_Customer</v>
      </c>
    </row>
    <row r="248" spans="1:7" x14ac:dyDescent="0.3">
      <c r="A248" t="s">
        <v>166</v>
      </c>
      <c r="B248" t="s">
        <v>7</v>
      </c>
      <c r="C248" s="3">
        <v>1846</v>
      </c>
      <c r="D248">
        <v>0.4</v>
      </c>
      <c r="E248">
        <v>0.3</v>
      </c>
      <c r="F248">
        <v>0.09</v>
      </c>
      <c r="G248" t="str">
        <f>B248&amp;"."&amp;A248</f>
        <v>bos.PNL_AR_Monthly</v>
      </c>
    </row>
    <row r="249" spans="1:7" x14ac:dyDescent="0.3">
      <c r="A249" t="s">
        <v>168</v>
      </c>
      <c r="B249" t="s">
        <v>7</v>
      </c>
      <c r="C249" s="3">
        <v>2861</v>
      </c>
      <c r="D249">
        <v>0.48</v>
      </c>
      <c r="E249">
        <v>0.38</v>
      </c>
      <c r="F249">
        <v>0.11</v>
      </c>
      <c r="G249" t="str">
        <f>B249&amp;"."&amp;A249</f>
        <v>bos.PNL_INV_Monthly</v>
      </c>
    </row>
    <row r="250" spans="1:7" x14ac:dyDescent="0.3">
      <c r="A250" t="s">
        <v>118</v>
      </c>
      <c r="B250" t="s">
        <v>7</v>
      </c>
      <c r="C250" s="3">
        <v>78052</v>
      </c>
      <c r="D250">
        <v>17.82</v>
      </c>
      <c r="E250">
        <v>17.559999999999999</v>
      </c>
      <c r="F250">
        <v>0.26</v>
      </c>
      <c r="G250" t="str">
        <f>B250&amp;"."&amp;A250</f>
        <v>bos.PNL_REV_SellingOut</v>
      </c>
    </row>
    <row r="251" spans="1:7" x14ac:dyDescent="0.3">
      <c r="A251" t="s">
        <v>309</v>
      </c>
      <c r="B251" t="s">
        <v>7</v>
      </c>
      <c r="C251">
        <v>0</v>
      </c>
      <c r="D251">
        <v>0</v>
      </c>
      <c r="E251">
        <v>0</v>
      </c>
      <c r="F251">
        <v>0</v>
      </c>
      <c r="G251" t="str">
        <f>B251&amp;"."&amp;A251</f>
        <v>bos.STAGING_BOS_SD_FDjr</v>
      </c>
    </row>
    <row r="252" spans="1:7" x14ac:dyDescent="0.3">
      <c r="A252" t="s">
        <v>310</v>
      </c>
      <c r="B252" t="s">
        <v>7</v>
      </c>
      <c r="C252">
        <v>0</v>
      </c>
      <c r="D252">
        <v>0</v>
      </c>
      <c r="E252">
        <v>0</v>
      </c>
      <c r="F252">
        <v>0</v>
      </c>
      <c r="G252" t="str">
        <f>B252&amp;"."&amp;A252</f>
        <v>bos.STAGING_BOS_SD_FDjr_BrandDist</v>
      </c>
    </row>
    <row r="253" spans="1:7" x14ac:dyDescent="0.3">
      <c r="A253" t="s">
        <v>311</v>
      </c>
      <c r="B253" t="s">
        <v>7</v>
      </c>
      <c r="C253">
        <v>0</v>
      </c>
      <c r="D253">
        <v>0</v>
      </c>
      <c r="E253">
        <v>0</v>
      </c>
      <c r="F253">
        <v>0</v>
      </c>
      <c r="G253" t="str">
        <f>B253&amp;"."&amp;A253</f>
        <v>bos.STAGING_BOS_SD_FDjrOOR</v>
      </c>
    </row>
    <row r="254" spans="1:7" x14ac:dyDescent="0.3">
      <c r="A254" t="s">
        <v>312</v>
      </c>
      <c r="B254" t="s">
        <v>7</v>
      </c>
      <c r="C254">
        <v>0</v>
      </c>
      <c r="D254">
        <v>0</v>
      </c>
      <c r="E254">
        <v>0</v>
      </c>
      <c r="F254">
        <v>0</v>
      </c>
      <c r="G254" t="str">
        <f>B254&amp;"."&amp;A254</f>
        <v>bos.STAGING_BOS_SD_FDjrOOR_BrandDist</v>
      </c>
    </row>
    <row r="255" spans="1:7" x14ac:dyDescent="0.3">
      <c r="A255" t="s">
        <v>313</v>
      </c>
      <c r="B255" t="s">
        <v>7</v>
      </c>
      <c r="C255">
        <v>0</v>
      </c>
      <c r="D255">
        <v>0</v>
      </c>
      <c r="E255">
        <v>0</v>
      </c>
      <c r="F255">
        <v>0</v>
      </c>
      <c r="G255" t="str">
        <f>B255&amp;"."&amp;A255</f>
        <v>bos.STAGING_BOS_SD_FDo</v>
      </c>
    </row>
    <row r="256" spans="1:7" x14ac:dyDescent="0.3">
      <c r="A256" t="s">
        <v>314</v>
      </c>
      <c r="B256" t="s">
        <v>7</v>
      </c>
      <c r="C256">
        <v>0</v>
      </c>
      <c r="D256">
        <v>0</v>
      </c>
      <c r="E256">
        <v>0</v>
      </c>
      <c r="F256">
        <v>0</v>
      </c>
      <c r="G256" t="str">
        <f>B256&amp;"."&amp;A256</f>
        <v>bos.STAGING_BOS_SD_FDo_BrandDist</v>
      </c>
    </row>
    <row r="257" spans="1:8" x14ac:dyDescent="0.3">
      <c r="A257" t="s">
        <v>315</v>
      </c>
      <c r="B257" t="s">
        <v>7</v>
      </c>
      <c r="C257">
        <v>0</v>
      </c>
      <c r="D257">
        <v>0</v>
      </c>
      <c r="E257">
        <v>0</v>
      </c>
      <c r="F257">
        <v>0</v>
      </c>
      <c r="G257" t="str">
        <f>B257&amp;"."&amp;A257</f>
        <v>bos.STAGING_BOS_SD_FDoItem</v>
      </c>
    </row>
    <row r="258" spans="1:8" x14ac:dyDescent="0.3">
      <c r="A258" t="s">
        <v>316</v>
      </c>
      <c r="B258" t="s">
        <v>7</v>
      </c>
      <c r="C258">
        <v>0</v>
      </c>
      <c r="D258">
        <v>0</v>
      </c>
      <c r="E258">
        <v>0</v>
      </c>
      <c r="F258">
        <v>0</v>
      </c>
      <c r="G258" t="str">
        <f>B258&amp;"."&amp;A258</f>
        <v>bos.STAGING_BOS_SD_FDoItem_BrandDist</v>
      </c>
    </row>
    <row r="259" spans="1:8" x14ac:dyDescent="0.3">
      <c r="A259" t="s">
        <v>317</v>
      </c>
      <c r="B259" t="s">
        <v>7</v>
      </c>
      <c r="C259">
        <v>0</v>
      </c>
      <c r="D259">
        <v>0</v>
      </c>
      <c r="E259">
        <v>0</v>
      </c>
      <c r="F259">
        <v>0</v>
      </c>
      <c r="G259" t="str">
        <f>B259&amp;"."&amp;A259</f>
        <v>bos.STAGING_BOS_SD_RemainStockInCustomer</v>
      </c>
    </row>
    <row r="260" spans="1:8" x14ac:dyDescent="0.3">
      <c r="A260" t="s">
        <v>318</v>
      </c>
      <c r="B260" t="s">
        <v>7</v>
      </c>
      <c r="C260">
        <v>0</v>
      </c>
      <c r="D260">
        <v>0</v>
      </c>
      <c r="E260">
        <v>0</v>
      </c>
      <c r="F260">
        <v>0</v>
      </c>
      <c r="G260" t="str">
        <f>B260&amp;"."&amp;A260</f>
        <v>bos.STAGING_BrandDist_RepeatCalc</v>
      </c>
    </row>
    <row r="261" spans="1:8" x14ac:dyDescent="0.3">
      <c r="A261" t="s">
        <v>319</v>
      </c>
      <c r="B261" t="s">
        <v>7</v>
      </c>
      <c r="C261">
        <v>0</v>
      </c>
      <c r="D261">
        <v>0</v>
      </c>
      <c r="E261">
        <v>0</v>
      </c>
      <c r="F261">
        <v>0</v>
      </c>
      <c r="G261" t="str">
        <f>B261&amp;"."&amp;A261</f>
        <v>bos.STAGING_BrandDist_RepeatCalc2</v>
      </c>
    </row>
    <row r="262" spans="1:8" x14ac:dyDescent="0.3">
      <c r="A262" t="s">
        <v>320</v>
      </c>
      <c r="B262" t="s">
        <v>7</v>
      </c>
      <c r="C262">
        <v>0</v>
      </c>
      <c r="D262">
        <v>0</v>
      </c>
      <c r="E262">
        <v>0</v>
      </c>
      <c r="F262">
        <v>0</v>
      </c>
      <c r="G262" t="str">
        <f>B262&amp;"."&amp;A262</f>
        <v>bos.STAGING_BrandDist_RepeatCalc3</v>
      </c>
    </row>
    <row r="263" spans="1:8" x14ac:dyDescent="0.3">
      <c r="A263" t="s">
        <v>321</v>
      </c>
      <c r="B263" t="s">
        <v>7</v>
      </c>
      <c r="C263">
        <v>0</v>
      </c>
      <c r="D263">
        <v>0</v>
      </c>
      <c r="E263">
        <v>0</v>
      </c>
      <c r="F263">
        <v>0</v>
      </c>
      <c r="G263" t="str">
        <f>B263&amp;"."&amp;A263</f>
        <v>bos.STAGING_BrandistProduct</v>
      </c>
    </row>
    <row r="264" spans="1:8" x14ac:dyDescent="0.3">
      <c r="A264" t="s">
        <v>322</v>
      </c>
      <c r="B264" t="s">
        <v>7</v>
      </c>
      <c r="C264">
        <v>0</v>
      </c>
      <c r="D264">
        <v>0</v>
      </c>
      <c r="E264">
        <v>0</v>
      </c>
      <c r="F264">
        <v>0</v>
      </c>
      <c r="G264" t="str">
        <f>B264&amp;"."&amp;A264</f>
        <v>bos.STAGING_CustomerRoute_BrandDist</v>
      </c>
    </row>
    <row r="265" spans="1:8" x14ac:dyDescent="0.3">
      <c r="A265" t="s">
        <v>323</v>
      </c>
      <c r="B265" t="s">
        <v>7</v>
      </c>
      <c r="C265">
        <v>0</v>
      </c>
      <c r="D265">
        <v>0</v>
      </c>
      <c r="E265">
        <v>0</v>
      </c>
      <c r="F265">
        <v>0</v>
      </c>
      <c r="G265" t="str">
        <f>B265&amp;"."&amp;A265</f>
        <v>bos.STAGING_JTI_SD_BrandDist</v>
      </c>
    </row>
    <row r="266" spans="1:8" x14ac:dyDescent="0.3">
      <c r="A266" t="s">
        <v>324</v>
      </c>
      <c r="B266" t="s">
        <v>7</v>
      </c>
      <c r="C266">
        <v>0</v>
      </c>
      <c r="D266">
        <v>0</v>
      </c>
      <c r="E266">
        <v>0</v>
      </c>
      <c r="F266">
        <v>0</v>
      </c>
      <c r="G266" t="str">
        <f>B266&amp;"."&amp;A266</f>
        <v>bos.STAGING_JTI_SD_RemainStockInCustBrand</v>
      </c>
    </row>
    <row r="267" spans="1:8" x14ac:dyDescent="0.3">
      <c r="A267" t="s">
        <v>325</v>
      </c>
      <c r="B267" t="s">
        <v>7</v>
      </c>
      <c r="C267">
        <v>0</v>
      </c>
      <c r="D267">
        <v>0</v>
      </c>
      <c r="E267">
        <v>0</v>
      </c>
      <c r="F267">
        <v>0</v>
      </c>
      <c r="G267" t="str">
        <f>B267&amp;"."&amp;A267</f>
        <v>bos.STAGING_JTI_SD_SalesInformationbyBrand</v>
      </c>
    </row>
    <row r="268" spans="1:8" x14ac:dyDescent="0.3">
      <c r="A268" t="s">
        <v>326</v>
      </c>
      <c r="B268" t="s">
        <v>7</v>
      </c>
      <c r="C268">
        <v>0</v>
      </c>
      <c r="D268">
        <v>0</v>
      </c>
      <c r="E268">
        <v>0</v>
      </c>
      <c r="F268">
        <v>0</v>
      </c>
      <c r="G268" t="str">
        <f>B268&amp;"."&amp;A268</f>
        <v>bos.STAGING_JTI_SD_SalesInformationbyBrand_OOR</v>
      </c>
    </row>
    <row r="269" spans="1:8" x14ac:dyDescent="0.3">
      <c r="A269" t="s">
        <v>42</v>
      </c>
      <c r="B269" t="s">
        <v>123</v>
      </c>
      <c r="C269">
        <v>0</v>
      </c>
      <c r="D269">
        <v>0</v>
      </c>
      <c r="E269">
        <v>0</v>
      </c>
      <c r="F269">
        <v>0</v>
      </c>
      <c r="G269" t="str">
        <f>B269&amp;"."&amp;A269</f>
        <v>dbo.BOS_SD_FInvoice</v>
      </c>
    </row>
    <row r="270" spans="1:8" x14ac:dyDescent="0.3">
      <c r="A270" t="s">
        <v>217</v>
      </c>
      <c r="B270" t="s">
        <v>123</v>
      </c>
      <c r="C270" s="3">
        <v>154</v>
      </c>
      <c r="D270">
        <v>0.08</v>
      </c>
      <c r="E270">
        <v>0.06</v>
      </c>
      <c r="F270">
        <v>0.02</v>
      </c>
      <c r="G270" t="str">
        <f>B270&amp;"."&amp;A270</f>
        <v>dbo.BOS_SD_TOTracking</v>
      </c>
      <c r="H270" t="s">
        <v>431</v>
      </c>
    </row>
    <row r="271" spans="1:8" x14ac:dyDescent="0.3">
      <c r="A271" t="s">
        <v>154</v>
      </c>
      <c r="B271" t="s">
        <v>123</v>
      </c>
      <c r="C271" s="3">
        <v>16375</v>
      </c>
      <c r="D271">
        <v>1.95</v>
      </c>
      <c r="E271">
        <v>1.86</v>
      </c>
      <c r="F271">
        <v>0.09</v>
      </c>
      <c r="G271" t="str">
        <f>B271&amp;"."&amp;A271</f>
        <v>dbo.BOS_SD_TOTrackingProduct</v>
      </c>
      <c r="H271" t="s">
        <v>432</v>
      </c>
    </row>
    <row r="272" spans="1:8" x14ac:dyDescent="0.3">
      <c r="A272" t="s">
        <v>204</v>
      </c>
      <c r="B272" t="s">
        <v>123</v>
      </c>
      <c r="C272" s="3">
        <v>1066</v>
      </c>
      <c r="D272">
        <v>0.26</v>
      </c>
      <c r="E272">
        <v>0.09</v>
      </c>
      <c r="F272">
        <v>0.16</v>
      </c>
      <c r="G272" t="str">
        <f>B272&amp;"."&amp;A272</f>
        <v>dbo.BOS_SM_GroupUser</v>
      </c>
    </row>
    <row r="273" spans="1:7" x14ac:dyDescent="0.3">
      <c r="A273" t="s">
        <v>186</v>
      </c>
      <c r="B273" t="s">
        <v>123</v>
      </c>
      <c r="C273">
        <v>0</v>
      </c>
      <c r="D273">
        <v>0</v>
      </c>
      <c r="E273">
        <v>0</v>
      </c>
      <c r="F273">
        <v>0</v>
      </c>
      <c r="G273" t="str">
        <f>B273&amp;"."&amp;A273</f>
        <v>dbo.BOS_SM_User</v>
      </c>
    </row>
    <row r="274" spans="1:7" x14ac:dyDescent="0.3">
      <c r="A274" t="s">
        <v>260</v>
      </c>
      <c r="B274" t="s">
        <v>123</v>
      </c>
      <c r="C274" s="3">
        <v>99</v>
      </c>
      <c r="D274">
        <v>7.0000000000000007E-2</v>
      </c>
      <c r="E274">
        <v>0.02</v>
      </c>
      <c r="F274">
        <v>0.05</v>
      </c>
      <c r="G274" t="str">
        <f>B274&amp;"."&amp;A274</f>
        <v>dbo.JTI_BI_EmployeeLevel</v>
      </c>
    </row>
    <row r="275" spans="1:7" x14ac:dyDescent="0.3">
      <c r="A275" t="s">
        <v>138</v>
      </c>
      <c r="B275" t="s">
        <v>123</v>
      </c>
      <c r="C275">
        <v>0</v>
      </c>
      <c r="D275">
        <v>0</v>
      </c>
      <c r="E275">
        <v>0</v>
      </c>
      <c r="F275">
        <v>0</v>
      </c>
      <c r="G275" t="str">
        <f>B275&amp;"."&amp;A275</f>
        <v>dbo.JTI_PI_FEmployee</v>
      </c>
    </row>
    <row r="276" spans="1:7" x14ac:dyDescent="0.3">
      <c r="A276" t="s">
        <v>265</v>
      </c>
      <c r="B276" t="s">
        <v>123</v>
      </c>
      <c r="C276">
        <v>0</v>
      </c>
      <c r="D276">
        <v>0</v>
      </c>
      <c r="E276">
        <v>0</v>
      </c>
      <c r="F276">
        <v>0</v>
      </c>
      <c r="G276" t="str">
        <f>B276&amp;"."&amp;A276</f>
        <v>dbo.JTI_SD_SalesmanActivityMapping</v>
      </c>
    </row>
    <row r="277" spans="1:7" x14ac:dyDescent="0.3">
      <c r="A277" t="s">
        <v>165</v>
      </c>
      <c r="B277" t="s">
        <v>123</v>
      </c>
      <c r="C277" s="3">
        <v>1934</v>
      </c>
      <c r="D277">
        <v>1.0900000000000001</v>
      </c>
      <c r="E277">
        <v>0.41</v>
      </c>
      <c r="F277">
        <v>0.67</v>
      </c>
      <c r="G277" t="str">
        <f>B277&amp;"."&amp;A277</f>
        <v>dbo.PNL_AR_Customer</v>
      </c>
    </row>
    <row r="278" spans="1:7" x14ac:dyDescent="0.3">
      <c r="A278" t="s">
        <v>166</v>
      </c>
      <c r="B278" t="s">
        <v>123</v>
      </c>
      <c r="C278" s="3">
        <v>1848</v>
      </c>
      <c r="D278">
        <v>1.0900000000000001</v>
      </c>
      <c r="E278">
        <v>0.45</v>
      </c>
      <c r="F278">
        <v>0.63</v>
      </c>
      <c r="G278" t="str">
        <f>B278&amp;"."&amp;A278</f>
        <v>dbo.PNL_AR_Monthly</v>
      </c>
    </row>
    <row r="279" spans="1:7" x14ac:dyDescent="0.3">
      <c r="A279" t="s">
        <v>197</v>
      </c>
      <c r="B279" t="s">
        <v>123</v>
      </c>
      <c r="C279" s="3">
        <v>647</v>
      </c>
      <c r="D279">
        <v>0.31</v>
      </c>
      <c r="E279">
        <v>0.15</v>
      </c>
      <c r="F279">
        <v>0.16</v>
      </c>
      <c r="G279" t="str">
        <f>B279&amp;"."&amp;A279</f>
        <v>dbo.PNL_AR_Monthly_20241101</v>
      </c>
    </row>
    <row r="280" spans="1:7" x14ac:dyDescent="0.3">
      <c r="A280" t="s">
        <v>238</v>
      </c>
      <c r="B280" t="s">
        <v>123</v>
      </c>
      <c r="C280" s="3">
        <v>9</v>
      </c>
      <c r="D280">
        <v>7.0000000000000007E-2</v>
      </c>
      <c r="E280">
        <v>0.02</v>
      </c>
      <c r="F280">
        <v>0.05</v>
      </c>
      <c r="G280" t="str">
        <f>B280&amp;"."&amp;A280</f>
        <v>dbo.PNL_Channel_Top</v>
      </c>
    </row>
    <row r="281" spans="1:7" x14ac:dyDescent="0.3">
      <c r="A281" t="s">
        <v>168</v>
      </c>
      <c r="B281" t="s">
        <v>123</v>
      </c>
      <c r="C281" s="3">
        <v>2836</v>
      </c>
      <c r="D281">
        <v>1.07</v>
      </c>
      <c r="E281">
        <v>0.48</v>
      </c>
      <c r="F281">
        <v>0.59</v>
      </c>
      <c r="G281" t="str">
        <f>B281&amp;"."&amp;A281</f>
        <v>dbo.PNL_INV_Monthly</v>
      </c>
    </row>
    <row r="282" spans="1:7" x14ac:dyDescent="0.3">
      <c r="A282" t="s">
        <v>239</v>
      </c>
      <c r="B282" t="s">
        <v>123</v>
      </c>
      <c r="C282" s="3">
        <v>96</v>
      </c>
      <c r="D282">
        <v>7.0000000000000007E-2</v>
      </c>
      <c r="E282">
        <v>0.03</v>
      </c>
      <c r="F282">
        <v>0.04</v>
      </c>
      <c r="G282" t="str">
        <f>B282&amp;"."&amp;A282</f>
        <v>dbo.PNL_Investment_Plan</v>
      </c>
    </row>
    <row r="283" spans="1:7" x14ac:dyDescent="0.3">
      <c r="A283" t="s">
        <v>299</v>
      </c>
      <c r="B283" t="s">
        <v>123</v>
      </c>
      <c r="C283" s="3">
        <v>72</v>
      </c>
      <c r="D283">
        <v>0.02</v>
      </c>
      <c r="E283">
        <v>0.02</v>
      </c>
      <c r="F283">
        <v>0</v>
      </c>
      <c r="G283" t="str">
        <f>B283&amp;"."&amp;A283</f>
        <v>dbo.PNL_Investment_Plan_backup</v>
      </c>
    </row>
    <row r="284" spans="1:7" x14ac:dyDescent="0.3">
      <c r="A284" t="s">
        <v>234</v>
      </c>
      <c r="B284" t="s">
        <v>123</v>
      </c>
      <c r="C284" s="3">
        <v>22</v>
      </c>
      <c r="D284">
        <v>7.0000000000000007E-2</v>
      </c>
      <c r="E284">
        <v>0.02</v>
      </c>
      <c r="F284">
        <v>0.05</v>
      </c>
      <c r="G284" t="str">
        <f>B284&amp;"."&amp;A284</f>
        <v>dbo.PNL_Investment_Plan_new</v>
      </c>
    </row>
    <row r="285" spans="1:7" x14ac:dyDescent="0.3">
      <c r="A285" t="s">
        <v>235</v>
      </c>
      <c r="B285" t="s">
        <v>123</v>
      </c>
      <c r="C285" s="3">
        <v>192</v>
      </c>
      <c r="D285">
        <v>7.0000000000000007E-2</v>
      </c>
      <c r="E285">
        <v>0.04</v>
      </c>
      <c r="F285">
        <v>0.03</v>
      </c>
      <c r="G285" t="str">
        <f>B285&amp;"."&amp;A285</f>
        <v>dbo.PNL_KPI_Back_Margin</v>
      </c>
    </row>
    <row r="286" spans="1:7" x14ac:dyDescent="0.3">
      <c r="A286" t="s">
        <v>231</v>
      </c>
      <c r="B286" t="s">
        <v>123</v>
      </c>
      <c r="C286" s="3">
        <v>192</v>
      </c>
      <c r="D286">
        <v>0.08</v>
      </c>
      <c r="E286">
        <v>0.02</v>
      </c>
      <c r="F286">
        <v>0.05</v>
      </c>
      <c r="G286" t="str">
        <f>B286&amp;"."&amp;A286</f>
        <v>dbo.PNL_KPI_Back_Margin_BAK</v>
      </c>
    </row>
    <row r="287" spans="1:7" x14ac:dyDescent="0.3">
      <c r="A287" t="s">
        <v>232</v>
      </c>
      <c r="B287" t="s">
        <v>123</v>
      </c>
      <c r="C287" s="3">
        <v>88</v>
      </c>
      <c r="D287">
        <v>7.0000000000000007E-2</v>
      </c>
      <c r="E287">
        <v>0.03</v>
      </c>
      <c r="F287">
        <v>0.04</v>
      </c>
      <c r="G287" t="str">
        <f>B287&amp;"."&amp;A287</f>
        <v>dbo.PNL_KPI_Back_Margin_new</v>
      </c>
    </row>
    <row r="288" spans="1:7" x14ac:dyDescent="0.3">
      <c r="A288" t="s">
        <v>233</v>
      </c>
      <c r="B288" t="s">
        <v>123</v>
      </c>
      <c r="C288" s="3">
        <v>64</v>
      </c>
      <c r="D288">
        <v>7.0000000000000007E-2</v>
      </c>
      <c r="E288">
        <v>0.02</v>
      </c>
      <c r="F288">
        <v>0.05</v>
      </c>
      <c r="G288" t="str">
        <f>B288&amp;"."&amp;A288</f>
        <v>dbo.PNL_KPI_Back_Margin_Quarter</v>
      </c>
    </row>
    <row r="289" spans="1:9" x14ac:dyDescent="0.3">
      <c r="A289" t="s">
        <v>228</v>
      </c>
      <c r="B289" t="s">
        <v>123</v>
      </c>
      <c r="C289" s="3">
        <v>48</v>
      </c>
      <c r="D289">
        <v>0.09</v>
      </c>
      <c r="E289">
        <v>0.03</v>
      </c>
      <c r="F289">
        <v>0.05</v>
      </c>
      <c r="G289" t="str">
        <f>B289&amp;"."&amp;A289</f>
        <v>dbo.PNL_KPI_Back_Margin_Quarter_backup</v>
      </c>
    </row>
    <row r="290" spans="1:9" x14ac:dyDescent="0.3">
      <c r="A290" t="s">
        <v>300</v>
      </c>
      <c r="B290" t="s">
        <v>123</v>
      </c>
      <c r="C290" s="3">
        <v>64</v>
      </c>
      <c r="D290">
        <v>0.02</v>
      </c>
      <c r="E290">
        <v>0.02</v>
      </c>
      <c r="F290">
        <v>0</v>
      </c>
      <c r="G290" t="str">
        <f>B290&amp;"."&amp;A290</f>
        <v>dbo.PNL_KPI_Back_Margin_Quarter_BAK</v>
      </c>
    </row>
    <row r="291" spans="1:9" x14ac:dyDescent="0.3">
      <c r="A291" t="s">
        <v>240</v>
      </c>
      <c r="B291" t="s">
        <v>123</v>
      </c>
      <c r="C291">
        <v>0</v>
      </c>
      <c r="D291">
        <v>7.0000000000000007E-2</v>
      </c>
      <c r="E291">
        <v>0.02</v>
      </c>
      <c r="F291">
        <v>0.05</v>
      </c>
      <c r="G291" t="str">
        <f>B291&amp;"."&amp;A291</f>
        <v>dbo.PNL_KPI_Back_Margin_Quarter_new</v>
      </c>
    </row>
    <row r="292" spans="1:9" x14ac:dyDescent="0.3">
      <c r="A292" t="s">
        <v>241</v>
      </c>
      <c r="B292" t="s">
        <v>123</v>
      </c>
      <c r="C292" s="3">
        <v>8</v>
      </c>
      <c r="D292">
        <v>7.0000000000000007E-2</v>
      </c>
      <c r="E292">
        <v>0.02</v>
      </c>
      <c r="F292">
        <v>0.05</v>
      </c>
      <c r="G292" t="str">
        <f>B292&amp;"."&amp;A292</f>
        <v>dbo.PNL_MS_Kurs</v>
      </c>
    </row>
    <row r="293" spans="1:9" x14ac:dyDescent="0.3">
      <c r="A293" t="s">
        <v>242</v>
      </c>
      <c r="B293" t="s">
        <v>123</v>
      </c>
      <c r="C293" s="3">
        <v>96</v>
      </c>
      <c r="D293">
        <v>7.0000000000000007E-2</v>
      </c>
      <c r="E293">
        <v>0.03</v>
      </c>
      <c r="F293">
        <v>0.04</v>
      </c>
      <c r="G293" t="str">
        <f>B293&amp;"."&amp;A293</f>
        <v>dbo.PNL_OPE_CostofFund</v>
      </c>
    </row>
    <row r="294" spans="1:9" x14ac:dyDescent="0.3">
      <c r="A294" t="s">
        <v>243</v>
      </c>
      <c r="B294" t="s">
        <v>123</v>
      </c>
      <c r="C294" s="3">
        <v>21</v>
      </c>
      <c r="D294">
        <v>7.0000000000000007E-2</v>
      </c>
      <c r="E294">
        <v>0.03</v>
      </c>
      <c r="F294">
        <v>0.04</v>
      </c>
      <c r="G294" t="str">
        <f>B294&amp;"."&amp;A294</f>
        <v>dbo.PNL_OPE_CostofFund_new</v>
      </c>
    </row>
    <row r="295" spans="1:9" x14ac:dyDescent="0.3">
      <c r="A295" t="s">
        <v>244</v>
      </c>
      <c r="B295" t="s">
        <v>123</v>
      </c>
      <c r="C295" s="3">
        <v>96</v>
      </c>
      <c r="D295">
        <v>7.0000000000000007E-2</v>
      </c>
      <c r="E295">
        <v>0.03</v>
      </c>
      <c r="F295">
        <v>0.04</v>
      </c>
      <c r="G295" t="str">
        <f>B295&amp;"."&amp;A295</f>
        <v>dbo.PNL_OPE_Depreciation</v>
      </c>
      <c r="I295" t="s">
        <v>438</v>
      </c>
    </row>
    <row r="296" spans="1:9" x14ac:dyDescent="0.3">
      <c r="A296" t="s">
        <v>245</v>
      </c>
      <c r="B296" t="s">
        <v>123</v>
      </c>
      <c r="C296">
        <v>0</v>
      </c>
      <c r="D296">
        <v>7.0000000000000007E-2</v>
      </c>
      <c r="E296">
        <v>0.02</v>
      </c>
      <c r="F296">
        <v>0.05</v>
      </c>
      <c r="G296" t="str">
        <f>B296&amp;"."&amp;A296</f>
        <v>dbo.PNL_OPE_Depreciation_new</v>
      </c>
    </row>
    <row r="297" spans="1:9" x14ac:dyDescent="0.3">
      <c r="A297" t="s">
        <v>246</v>
      </c>
      <c r="B297" t="s">
        <v>123</v>
      </c>
      <c r="C297" s="3">
        <v>96</v>
      </c>
      <c r="D297">
        <v>7.0000000000000007E-2</v>
      </c>
      <c r="E297">
        <v>0.03</v>
      </c>
      <c r="F297">
        <v>0.04</v>
      </c>
      <c r="G297" t="str">
        <f>B297&amp;"."&amp;A297</f>
        <v>dbo.PNL_OPE_Office_Expenses</v>
      </c>
    </row>
    <row r="298" spans="1:9" x14ac:dyDescent="0.3">
      <c r="A298" t="s">
        <v>247</v>
      </c>
      <c r="B298" t="s">
        <v>123</v>
      </c>
      <c r="C298" s="3">
        <v>32</v>
      </c>
      <c r="D298">
        <v>7.0000000000000007E-2</v>
      </c>
      <c r="E298">
        <v>0.02</v>
      </c>
      <c r="F298">
        <v>0.05</v>
      </c>
      <c r="G298" t="str">
        <f>B298&amp;"."&amp;A298</f>
        <v>dbo.PNL_OPE_Office_Expenses_new</v>
      </c>
    </row>
    <row r="299" spans="1:9" x14ac:dyDescent="0.3">
      <c r="A299" t="s">
        <v>248</v>
      </c>
      <c r="B299" t="s">
        <v>123</v>
      </c>
      <c r="C299" s="3">
        <v>96</v>
      </c>
      <c r="D299">
        <v>7.0000000000000007E-2</v>
      </c>
      <c r="E299">
        <v>0.03</v>
      </c>
      <c r="F299">
        <v>0.04</v>
      </c>
      <c r="G299" t="str">
        <f>B299&amp;"."&amp;A299</f>
        <v>dbo.PNL_OPE_Others</v>
      </c>
    </row>
    <row r="300" spans="1:9" x14ac:dyDescent="0.3">
      <c r="A300" t="s">
        <v>249</v>
      </c>
      <c r="B300" t="s">
        <v>123</v>
      </c>
      <c r="C300">
        <v>0</v>
      </c>
      <c r="D300">
        <v>7.0000000000000007E-2</v>
      </c>
      <c r="E300">
        <v>0.02</v>
      </c>
      <c r="F300">
        <v>0.05</v>
      </c>
      <c r="G300" t="str">
        <f>B300&amp;"."&amp;A300</f>
        <v>dbo.PNL_OPE_Others_new</v>
      </c>
    </row>
    <row r="301" spans="1:9" x14ac:dyDescent="0.3">
      <c r="A301" t="s">
        <v>205</v>
      </c>
      <c r="B301" t="s">
        <v>123</v>
      </c>
      <c r="C301" s="3">
        <v>885</v>
      </c>
      <c r="D301">
        <v>0.26</v>
      </c>
      <c r="E301">
        <v>0.22</v>
      </c>
      <c r="F301">
        <v>0.04</v>
      </c>
      <c r="G301" t="str">
        <f>B301&amp;"."&amp;A301</f>
        <v>dbo.PNL_OPE_Salaries</v>
      </c>
    </row>
    <row r="302" spans="1:9" x14ac:dyDescent="0.3">
      <c r="A302" t="s">
        <v>301</v>
      </c>
      <c r="B302" t="s">
        <v>123</v>
      </c>
      <c r="C302">
        <v>0</v>
      </c>
      <c r="D302">
        <v>0</v>
      </c>
      <c r="E302">
        <v>0</v>
      </c>
      <c r="F302">
        <v>0</v>
      </c>
      <c r="G302" t="str">
        <f>B302&amp;"."&amp;A302</f>
        <v>dbo.PNL_OPE_Salaries_new</v>
      </c>
    </row>
    <row r="303" spans="1:9" x14ac:dyDescent="0.3">
      <c r="A303" t="s">
        <v>221</v>
      </c>
      <c r="B303" t="s">
        <v>123</v>
      </c>
      <c r="C303" s="3">
        <v>623</v>
      </c>
      <c r="D303">
        <v>0.2</v>
      </c>
      <c r="E303">
        <v>0.2</v>
      </c>
      <c r="F303">
        <v>0</v>
      </c>
      <c r="G303" t="str">
        <f>B303&amp;"."&amp;A303</f>
        <v>dbo.PNL_OPE_Salaries_Reimbursement</v>
      </c>
    </row>
    <row r="304" spans="1:9" x14ac:dyDescent="0.3">
      <c r="A304" t="s">
        <v>303</v>
      </c>
      <c r="B304" t="s">
        <v>123</v>
      </c>
      <c r="C304">
        <v>0</v>
      </c>
      <c r="D304">
        <v>0</v>
      </c>
      <c r="E304">
        <v>0</v>
      </c>
      <c r="F304">
        <v>0</v>
      </c>
      <c r="G304" t="str">
        <f>B304&amp;"."&amp;A304</f>
        <v>dbo.PNL_OPE_Salaries_Reimbursement_new</v>
      </c>
    </row>
    <row r="305" spans="1:7" x14ac:dyDescent="0.3">
      <c r="A305" t="s">
        <v>237</v>
      </c>
      <c r="B305" t="s">
        <v>123</v>
      </c>
      <c r="C305" s="3">
        <v>168</v>
      </c>
      <c r="D305">
        <v>7.0000000000000007E-2</v>
      </c>
      <c r="E305">
        <v>0.05</v>
      </c>
      <c r="F305">
        <v>0.02</v>
      </c>
      <c r="G305" t="str">
        <f>B305&amp;"."&amp;A305</f>
        <v>dbo.PNL_OPE_Vehicle</v>
      </c>
    </row>
    <row r="306" spans="1:7" x14ac:dyDescent="0.3">
      <c r="A306" t="s">
        <v>302</v>
      </c>
      <c r="B306" t="s">
        <v>123</v>
      </c>
      <c r="C306">
        <v>0</v>
      </c>
      <c r="D306">
        <v>0</v>
      </c>
      <c r="E306">
        <v>0</v>
      </c>
      <c r="F306">
        <v>0</v>
      </c>
      <c r="G306" t="str">
        <f>B306&amp;"."&amp;A306</f>
        <v>dbo.PNL_OPE_Vehicle_new</v>
      </c>
    </row>
    <row r="307" spans="1:7" x14ac:dyDescent="0.3">
      <c r="A307" t="s">
        <v>236</v>
      </c>
      <c r="B307" t="s">
        <v>123</v>
      </c>
      <c r="C307" s="3">
        <v>96</v>
      </c>
      <c r="D307">
        <v>7.0000000000000007E-2</v>
      </c>
      <c r="E307">
        <v>0.03</v>
      </c>
      <c r="F307">
        <v>0.04</v>
      </c>
      <c r="G307" t="str">
        <f>B307&amp;"."&amp;A307</f>
        <v>dbo.PNL_OPE_Warehouse</v>
      </c>
    </row>
    <row r="308" spans="1:7" x14ac:dyDescent="0.3">
      <c r="A308" t="s">
        <v>304</v>
      </c>
      <c r="B308" t="s">
        <v>123</v>
      </c>
      <c r="C308">
        <v>0</v>
      </c>
      <c r="D308">
        <v>0</v>
      </c>
      <c r="E308">
        <v>0</v>
      </c>
      <c r="F308">
        <v>0</v>
      </c>
      <c r="G308" t="str">
        <f>B308&amp;"."&amp;A308</f>
        <v>dbo.PNL_OPE_Warehouse_new</v>
      </c>
    </row>
    <row r="309" spans="1:7" x14ac:dyDescent="0.3">
      <c r="A309" t="s">
        <v>155</v>
      </c>
      <c r="B309" t="s">
        <v>123</v>
      </c>
      <c r="C309" s="3">
        <v>9684</v>
      </c>
      <c r="D309">
        <v>2.04</v>
      </c>
      <c r="E309">
        <v>2.02</v>
      </c>
      <c r="F309">
        <v>0.02</v>
      </c>
      <c r="G309" t="str">
        <f>B309&amp;"."&amp;A309</f>
        <v>dbo.PNL_REV_COGS_Plan</v>
      </c>
    </row>
    <row r="310" spans="1:7" x14ac:dyDescent="0.3">
      <c r="A310" t="s">
        <v>220</v>
      </c>
      <c r="B310" t="s">
        <v>123</v>
      </c>
      <c r="C310" s="3">
        <v>873</v>
      </c>
      <c r="D310">
        <v>0.2</v>
      </c>
      <c r="E310">
        <v>0.19</v>
      </c>
      <c r="F310">
        <v>0.02</v>
      </c>
      <c r="G310" t="str">
        <f>B310&amp;"."&amp;A310</f>
        <v>dbo.PNL_REV_COGS_Plan_new</v>
      </c>
    </row>
    <row r="311" spans="1:7" x14ac:dyDescent="0.3">
      <c r="A311" t="s">
        <v>225</v>
      </c>
      <c r="B311" t="s">
        <v>123</v>
      </c>
      <c r="C311" s="3">
        <v>656</v>
      </c>
      <c r="D311">
        <v>0.14000000000000001</v>
      </c>
      <c r="E311">
        <v>0.1</v>
      </c>
      <c r="F311">
        <v>0.04</v>
      </c>
      <c r="G311" t="str">
        <f>B311&amp;"."&amp;A311</f>
        <v>dbo.PNL_REV_Distributor_Type</v>
      </c>
    </row>
    <row r="312" spans="1:7" x14ac:dyDescent="0.3">
      <c r="A312" t="s">
        <v>181</v>
      </c>
      <c r="B312" t="s">
        <v>123</v>
      </c>
      <c r="C312" s="3">
        <v>2577</v>
      </c>
      <c r="D312">
        <v>0.64</v>
      </c>
      <c r="E312">
        <v>0.38</v>
      </c>
      <c r="F312">
        <v>0.26</v>
      </c>
      <c r="G312" t="str">
        <f>B312&amp;"."&amp;A312</f>
        <v>dbo.PNL_REV_Gross_Margin</v>
      </c>
    </row>
    <row r="313" spans="1:7" x14ac:dyDescent="0.3">
      <c r="A313" t="s">
        <v>118</v>
      </c>
      <c r="B313" t="s">
        <v>123</v>
      </c>
      <c r="C313" s="3">
        <v>81631</v>
      </c>
      <c r="D313">
        <v>13.73</v>
      </c>
      <c r="E313">
        <v>12.96</v>
      </c>
      <c r="F313">
        <v>0.77</v>
      </c>
      <c r="G313" t="str">
        <f>B313&amp;"."&amp;A313</f>
        <v>dbo.PNL_REV_SellingOut</v>
      </c>
    </row>
    <row r="314" spans="1:7" x14ac:dyDescent="0.3">
      <c r="A314" t="s">
        <v>187</v>
      </c>
      <c r="B314" t="s">
        <v>123</v>
      </c>
      <c r="C314" s="3">
        <v>3109</v>
      </c>
      <c r="D314">
        <v>0.51</v>
      </c>
      <c r="E314">
        <v>0.46</v>
      </c>
      <c r="F314">
        <v>0.05</v>
      </c>
      <c r="G314" t="str">
        <f>B314&amp;"."&amp;A314</f>
        <v>dbo.PNL_REV_SellingOut_backup</v>
      </c>
    </row>
    <row r="315" spans="1:7" x14ac:dyDescent="0.3">
      <c r="A315" t="s">
        <v>160</v>
      </c>
      <c r="B315" t="s">
        <v>123</v>
      </c>
      <c r="C315" s="3">
        <v>9120</v>
      </c>
      <c r="D315">
        <v>1.66</v>
      </c>
      <c r="E315">
        <v>1.52</v>
      </c>
      <c r="F315">
        <v>0.14000000000000001</v>
      </c>
      <c r="G315" t="str">
        <f>B315&amp;"."&amp;A315</f>
        <v>dbo.PNL_REV_SellingOut_Plan</v>
      </c>
    </row>
    <row r="316" spans="1:7" x14ac:dyDescent="0.3">
      <c r="A316" t="s">
        <v>308</v>
      </c>
      <c r="B316" t="s">
        <v>123</v>
      </c>
      <c r="C316">
        <v>0</v>
      </c>
      <c r="D316">
        <v>0</v>
      </c>
      <c r="E316">
        <v>0</v>
      </c>
      <c r="F316">
        <v>0</v>
      </c>
      <c r="G316" t="str">
        <f>B316&amp;"."&amp;A316</f>
        <v>dbo.PNL_REV_SellingOut_Plan_new</v>
      </c>
    </row>
    <row r="317" spans="1:7" x14ac:dyDescent="0.3">
      <c r="A317" t="s">
        <v>182</v>
      </c>
      <c r="B317" t="s">
        <v>123</v>
      </c>
      <c r="C317" s="3">
        <v>3731</v>
      </c>
      <c r="D317">
        <v>0.63</v>
      </c>
      <c r="E317">
        <v>0.62</v>
      </c>
      <c r="F317">
        <v>0.02</v>
      </c>
      <c r="G317" t="str">
        <f>B317&amp;"."&amp;A317</f>
        <v>dbo.PNL_REV_SellingOut2</v>
      </c>
    </row>
    <row r="318" spans="1:7" x14ac:dyDescent="0.3">
      <c r="A318" t="s">
        <v>250</v>
      </c>
      <c r="B318" t="s">
        <v>123</v>
      </c>
      <c r="C318" s="3">
        <v>24</v>
      </c>
      <c r="D318">
        <v>7.0000000000000007E-2</v>
      </c>
      <c r="E318">
        <v>0.02</v>
      </c>
      <c r="F318">
        <v>0.05</v>
      </c>
      <c r="G318" t="str">
        <f>B318&amp;"."&amp;A318</f>
        <v>dbo.SI_Glossary</v>
      </c>
    </row>
    <row r="319" spans="1:7" x14ac:dyDescent="0.3">
      <c r="A319" t="s">
        <v>298</v>
      </c>
      <c r="B319" t="s">
        <v>123</v>
      </c>
      <c r="C319" s="3">
        <v>39</v>
      </c>
      <c r="D319">
        <v>0.02</v>
      </c>
      <c r="E319">
        <v>0.02</v>
      </c>
      <c r="F319">
        <v>0</v>
      </c>
      <c r="G319" t="str">
        <f>B319&amp;"."&amp;A319</f>
        <v>dbo.SI_Glossary_temp</v>
      </c>
    </row>
    <row r="320" spans="1:7" x14ac:dyDescent="0.3">
      <c r="A320" t="s">
        <v>251</v>
      </c>
      <c r="B320" t="s">
        <v>123</v>
      </c>
      <c r="C320" s="3">
        <v>44</v>
      </c>
      <c r="D320">
        <v>7.0000000000000007E-2</v>
      </c>
      <c r="E320">
        <v>0.02</v>
      </c>
      <c r="F320">
        <v>0.05</v>
      </c>
      <c r="G320" t="str">
        <f>B320&amp;"."&amp;A320</f>
        <v>dbo.SI_SKU_Mapping</v>
      </c>
    </row>
    <row r="321" spans="1:8" x14ac:dyDescent="0.3">
      <c r="A321" t="s">
        <v>252</v>
      </c>
      <c r="B321" t="s">
        <v>123</v>
      </c>
      <c r="C321" s="3">
        <v>104</v>
      </c>
      <c r="D321">
        <v>7.0000000000000007E-2</v>
      </c>
      <c r="E321">
        <v>0.02</v>
      </c>
      <c r="F321">
        <v>0.05</v>
      </c>
      <c r="G321" t="str">
        <f>B321&amp;"."&amp;A321</f>
        <v>dbo.SI_Week_Mapping</v>
      </c>
    </row>
    <row r="322" spans="1:8" x14ac:dyDescent="0.3">
      <c r="A322" t="s">
        <v>177</v>
      </c>
      <c r="B322" t="s">
        <v>26</v>
      </c>
      <c r="C322" s="3">
        <v>1652</v>
      </c>
      <c r="D322">
        <v>0.68</v>
      </c>
      <c r="E322">
        <v>0.45</v>
      </c>
      <c r="F322">
        <v>0.23</v>
      </c>
      <c r="G322" t="str">
        <f>B322&amp;"."&amp;A322</f>
        <v>sli.BOS_PI_Employee_DSD_H</v>
      </c>
    </row>
    <row r="323" spans="1:8" x14ac:dyDescent="0.3">
      <c r="A323" t="s">
        <v>134</v>
      </c>
      <c r="B323" t="s">
        <v>26</v>
      </c>
      <c r="C323" s="3">
        <v>20374</v>
      </c>
      <c r="D323">
        <v>6.52</v>
      </c>
      <c r="E323">
        <v>4.93</v>
      </c>
      <c r="F323">
        <v>1.59</v>
      </c>
      <c r="G323" t="str">
        <f>B323&amp;"."&amp;A323</f>
        <v>sli.BOS_PI_Employee_H</v>
      </c>
    </row>
    <row r="324" spans="1:8" x14ac:dyDescent="0.3">
      <c r="A324" t="s">
        <v>94</v>
      </c>
      <c r="B324" t="s">
        <v>26</v>
      </c>
      <c r="C324" s="3">
        <v>170665</v>
      </c>
      <c r="D324">
        <v>76.16</v>
      </c>
      <c r="E324">
        <v>73.03</v>
      </c>
      <c r="F324">
        <v>3.13</v>
      </c>
      <c r="G324" t="str">
        <f>B324&amp;"."&amp;A324</f>
        <v>sli.BOS_SD_ROUTE_DSD_H</v>
      </c>
      <c r="H324" t="s">
        <v>427</v>
      </c>
    </row>
    <row r="325" spans="1:8" x14ac:dyDescent="0.3">
      <c r="A325" t="s">
        <v>92</v>
      </c>
      <c r="B325" t="s">
        <v>26</v>
      </c>
      <c r="C325" s="3">
        <v>199510</v>
      </c>
      <c r="D325">
        <v>86.23</v>
      </c>
      <c r="E325">
        <v>85.78</v>
      </c>
      <c r="F325">
        <v>0.45</v>
      </c>
      <c r="G325" t="str">
        <f>B325&amp;"."&amp;A325</f>
        <v>sli.BOS_SD_ROUTE_H</v>
      </c>
      <c r="H325" t="s">
        <v>427</v>
      </c>
    </row>
    <row r="326" spans="1:8" x14ac:dyDescent="0.3">
      <c r="A326" t="s">
        <v>104</v>
      </c>
      <c r="B326" t="s">
        <v>26</v>
      </c>
      <c r="C326" s="3">
        <v>153485</v>
      </c>
      <c r="D326">
        <v>41.33</v>
      </c>
      <c r="E326">
        <v>40.83</v>
      </c>
      <c r="F326">
        <v>0.5</v>
      </c>
      <c r="G326" t="str">
        <f>B326&amp;"."&amp;A326</f>
        <v>sli.BOS_SD_RouteItem_DSD_H</v>
      </c>
      <c r="H326" t="s">
        <v>430</v>
      </c>
    </row>
    <row r="327" spans="1:8" x14ac:dyDescent="0.3">
      <c r="A327" t="s">
        <v>61</v>
      </c>
      <c r="B327" t="s">
        <v>26</v>
      </c>
      <c r="C327" s="3">
        <v>2336439</v>
      </c>
      <c r="D327">
        <v>591.83000000000004</v>
      </c>
      <c r="E327">
        <v>590.92999999999995</v>
      </c>
      <c r="F327">
        <v>0.9</v>
      </c>
      <c r="G327" t="str">
        <f>B327&amp;"."&amp;A327</f>
        <v>sli.BOS_SD_RouteItem_H</v>
      </c>
      <c r="H327" t="s">
        <v>429</v>
      </c>
    </row>
    <row r="328" spans="1:8" x14ac:dyDescent="0.3">
      <c r="A328" t="s">
        <v>189</v>
      </c>
      <c r="B328" t="s">
        <v>26</v>
      </c>
      <c r="C328" s="3">
        <v>2924</v>
      </c>
      <c r="D328">
        <v>0.46</v>
      </c>
      <c r="E328">
        <v>0.33</v>
      </c>
      <c r="F328">
        <v>0.13</v>
      </c>
      <c r="G328" t="str">
        <f>B328&amp;"."&amp;A328</f>
        <v>sli.DimCalendar</v>
      </c>
    </row>
    <row r="329" spans="1:8" x14ac:dyDescent="0.3">
      <c r="A329" t="s">
        <v>46</v>
      </c>
      <c r="B329" t="s">
        <v>26</v>
      </c>
      <c r="C329">
        <v>0</v>
      </c>
      <c r="D329">
        <v>0</v>
      </c>
      <c r="E329">
        <v>0</v>
      </c>
      <c r="F329">
        <v>0</v>
      </c>
      <c r="G329" t="str">
        <f>B329&amp;"."&amp;A329</f>
        <v>sli.DimCustomer</v>
      </c>
    </row>
    <row r="330" spans="1:8" x14ac:dyDescent="0.3">
      <c r="A330" t="s">
        <v>142</v>
      </c>
      <c r="B330" t="s">
        <v>26</v>
      </c>
      <c r="C330" s="3">
        <v>7359</v>
      </c>
      <c r="D330">
        <v>3.65</v>
      </c>
      <c r="E330">
        <v>2.81</v>
      </c>
      <c r="F330">
        <v>0.84</v>
      </c>
      <c r="G330" t="str">
        <f>B330&amp;"."&amp;A330</f>
        <v>sli.DimEmployee</v>
      </c>
    </row>
    <row r="331" spans="1:8" x14ac:dyDescent="0.3">
      <c r="A331" t="s">
        <v>202</v>
      </c>
      <c r="B331" t="s">
        <v>26</v>
      </c>
      <c r="C331" s="3">
        <v>450</v>
      </c>
      <c r="D331">
        <v>0.27</v>
      </c>
      <c r="E331">
        <v>0.16</v>
      </c>
      <c r="F331">
        <v>0.1</v>
      </c>
      <c r="G331" t="str">
        <f>B331&amp;"."&amp;A331</f>
        <v>sli.DimEmployee_DSD</v>
      </c>
    </row>
    <row r="332" spans="1:8" x14ac:dyDescent="0.3">
      <c r="A332" t="s">
        <v>179</v>
      </c>
      <c r="B332" t="s">
        <v>26</v>
      </c>
      <c r="C332" s="3">
        <v>1657</v>
      </c>
      <c r="D332">
        <v>0.66</v>
      </c>
      <c r="E332">
        <v>0.44</v>
      </c>
      <c r="F332">
        <v>0.23</v>
      </c>
      <c r="G332" t="str">
        <f>B332&amp;"."&amp;A332</f>
        <v>sli.dimemployee_DSD_mov</v>
      </c>
    </row>
    <row r="333" spans="1:8" x14ac:dyDescent="0.3">
      <c r="A333" t="s">
        <v>136</v>
      </c>
      <c r="B333" t="s">
        <v>26</v>
      </c>
      <c r="C333" s="3">
        <v>20378</v>
      </c>
      <c r="D333">
        <v>6.01</v>
      </c>
      <c r="E333">
        <v>4.55</v>
      </c>
      <c r="F333">
        <v>1.46</v>
      </c>
      <c r="G333" t="str">
        <f>B333&amp;"."&amp;A333</f>
        <v>sli.dimemployee_mov</v>
      </c>
    </row>
    <row r="334" spans="1:8" x14ac:dyDescent="0.3">
      <c r="A334" t="s">
        <v>112</v>
      </c>
      <c r="B334" t="s">
        <v>26</v>
      </c>
      <c r="C334" s="3">
        <v>54867</v>
      </c>
      <c r="D334">
        <v>24.84</v>
      </c>
      <c r="E334">
        <v>23.98</v>
      </c>
      <c r="F334">
        <v>0.86</v>
      </c>
      <c r="G334" t="str">
        <f>B334&amp;"."&amp;A334</f>
        <v>sli.DimRoute_DSD_mov</v>
      </c>
    </row>
    <row r="335" spans="1:8" x14ac:dyDescent="0.3">
      <c r="A335" t="s">
        <v>91</v>
      </c>
      <c r="B335" t="s">
        <v>26</v>
      </c>
      <c r="C335" s="3">
        <v>199932</v>
      </c>
      <c r="D335">
        <v>87</v>
      </c>
      <c r="E335">
        <v>86.13</v>
      </c>
      <c r="F335">
        <v>0.87</v>
      </c>
      <c r="G335" t="str">
        <f>B335&amp;"."&amp;A335</f>
        <v>sli.DimRoute_mov</v>
      </c>
    </row>
    <row r="336" spans="1:8" x14ac:dyDescent="0.3">
      <c r="A336" t="s">
        <v>100</v>
      </c>
      <c r="B336" t="s">
        <v>26</v>
      </c>
      <c r="C336" s="3">
        <v>153485</v>
      </c>
      <c r="D336">
        <v>45.97</v>
      </c>
      <c r="E336">
        <v>45.07</v>
      </c>
      <c r="F336">
        <v>0.9</v>
      </c>
      <c r="G336" t="str">
        <f>B336&amp;"."&amp;A336</f>
        <v>sli.DimRouteItem_DSD_mov</v>
      </c>
    </row>
    <row r="337" spans="1:8" x14ac:dyDescent="0.3">
      <c r="A337" t="s">
        <v>60</v>
      </c>
      <c r="B337" t="s">
        <v>26</v>
      </c>
      <c r="C337" s="3">
        <v>2336439</v>
      </c>
      <c r="D337">
        <v>618.35</v>
      </c>
      <c r="E337">
        <v>616.42999999999995</v>
      </c>
      <c r="F337">
        <v>1.92</v>
      </c>
      <c r="G337" t="str">
        <f>B337&amp;"."&amp;A337</f>
        <v>sli.DimRouteItem_mov</v>
      </c>
    </row>
    <row r="338" spans="1:8" x14ac:dyDescent="0.3">
      <c r="A338" t="s">
        <v>213</v>
      </c>
      <c r="B338" t="s">
        <v>26</v>
      </c>
      <c r="C338" s="3">
        <v>78</v>
      </c>
      <c r="D338">
        <v>7.0000000000000007E-2</v>
      </c>
      <c r="E338">
        <v>0.03</v>
      </c>
      <c r="F338">
        <v>0.04</v>
      </c>
      <c r="G338" t="str">
        <f>B338&amp;"."&amp;A338</f>
        <v>sli.DimSalesOrganization</v>
      </c>
    </row>
    <row r="339" spans="1:8" x14ac:dyDescent="0.3">
      <c r="A339" t="s">
        <v>214</v>
      </c>
      <c r="B339" t="s">
        <v>26</v>
      </c>
      <c r="C339" s="3">
        <v>69</v>
      </c>
      <c r="D339">
        <v>7.0000000000000007E-2</v>
      </c>
      <c r="E339">
        <v>0.04</v>
      </c>
      <c r="F339">
        <v>0.03</v>
      </c>
      <c r="G339" t="str">
        <f>B339&amp;"."&amp;A339</f>
        <v>sli.DimSalesOrganization_DSD</v>
      </c>
    </row>
    <row r="340" spans="1:8" x14ac:dyDescent="0.3">
      <c r="A340" t="s">
        <v>215</v>
      </c>
      <c r="B340" t="s">
        <v>26</v>
      </c>
      <c r="C340" s="3">
        <v>737</v>
      </c>
      <c r="D340">
        <v>0.2</v>
      </c>
      <c r="E340">
        <v>0.13</v>
      </c>
      <c r="F340">
        <v>7.0000000000000007E-2</v>
      </c>
      <c r="G340" t="str">
        <f>B340&amp;"."&amp;A340</f>
        <v>sli.DimSupervisor</v>
      </c>
    </row>
    <row r="341" spans="1:8" x14ac:dyDescent="0.3">
      <c r="A341" t="s">
        <v>286</v>
      </c>
      <c r="B341" t="s">
        <v>26</v>
      </c>
      <c r="C341" s="3">
        <v>57</v>
      </c>
      <c r="D341">
        <v>7.0000000000000007E-2</v>
      </c>
      <c r="E341">
        <v>0.02</v>
      </c>
      <c r="F341">
        <v>0.05</v>
      </c>
      <c r="G341" t="str">
        <f>B341&amp;"."&amp;A341</f>
        <v>sli.DimSupervisor_DSD</v>
      </c>
    </row>
    <row r="342" spans="1:8" x14ac:dyDescent="0.3">
      <c r="A342" t="s">
        <v>192</v>
      </c>
      <c r="B342" t="s">
        <v>26</v>
      </c>
      <c r="C342" s="3">
        <v>210</v>
      </c>
      <c r="D342">
        <v>0.35</v>
      </c>
      <c r="E342">
        <v>0.2</v>
      </c>
      <c r="F342">
        <v>0.15</v>
      </c>
      <c r="G342" t="str">
        <f>B342&amp;"."&amp;A342</f>
        <v>sli.DimWorkplace</v>
      </c>
    </row>
    <row r="343" spans="1:8" x14ac:dyDescent="0.3">
      <c r="A343" t="s">
        <v>218</v>
      </c>
      <c r="B343" t="s">
        <v>26</v>
      </c>
      <c r="C343" s="3">
        <v>40</v>
      </c>
      <c r="D343">
        <v>7.0000000000000007E-2</v>
      </c>
      <c r="E343">
        <v>0.05</v>
      </c>
      <c r="F343">
        <v>0.02</v>
      </c>
      <c r="G343" t="str">
        <f>B343&amp;"."&amp;A343</f>
        <v>sli.DimWorkplace_DSD</v>
      </c>
    </row>
    <row r="344" spans="1:8" x14ac:dyDescent="0.3">
      <c r="A344" t="s">
        <v>113</v>
      </c>
      <c r="B344" t="s">
        <v>26</v>
      </c>
      <c r="C344" s="3">
        <v>51208</v>
      </c>
      <c r="D344">
        <v>20.83</v>
      </c>
      <c r="E344">
        <v>20.7</v>
      </c>
      <c r="F344">
        <v>0.13</v>
      </c>
      <c r="G344" t="str">
        <f>B344&amp;"."&amp;A344</f>
        <v>sli.Fact_Sales_Incentive</v>
      </c>
      <c r="H344" t="s">
        <v>433</v>
      </c>
    </row>
    <row r="345" spans="1:8" x14ac:dyDescent="0.3">
      <c r="A345" t="s">
        <v>150</v>
      </c>
      <c r="B345" t="s">
        <v>26</v>
      </c>
      <c r="C345" s="3">
        <v>7302</v>
      </c>
      <c r="D345">
        <v>3.08</v>
      </c>
      <c r="E345">
        <v>3</v>
      </c>
      <c r="F345">
        <v>0.08</v>
      </c>
      <c r="G345" t="str">
        <f>B345&amp;"."&amp;A345</f>
        <v>sli.Fact_Sales_Incentive_DSD</v>
      </c>
      <c r="H345" t="s">
        <v>433</v>
      </c>
    </row>
    <row r="346" spans="1:8" x14ac:dyDescent="0.3">
      <c r="A346" t="s">
        <v>257</v>
      </c>
      <c r="B346" t="s">
        <v>26</v>
      </c>
      <c r="C346" s="3">
        <v>3</v>
      </c>
      <c r="D346">
        <v>7.0000000000000007E-2</v>
      </c>
      <c r="E346">
        <v>0.02</v>
      </c>
      <c r="F346">
        <v>0.05</v>
      </c>
      <c r="G346" t="str">
        <f>B346&amp;"."&amp;A346</f>
        <v>sli.JTI_INCENTIVE</v>
      </c>
    </row>
    <row r="347" spans="1:8" x14ac:dyDescent="0.3">
      <c r="A347" t="s">
        <v>55</v>
      </c>
      <c r="B347" t="s">
        <v>26</v>
      </c>
      <c r="C347" s="3">
        <v>314162</v>
      </c>
      <c r="D347">
        <v>806.55</v>
      </c>
      <c r="E347">
        <v>442.79</v>
      </c>
      <c r="F347">
        <v>363.77</v>
      </c>
      <c r="G347" t="str">
        <f>B347&amp;"."&amp;A347</f>
        <v>sli.stg_BOS_AR_Customer</v>
      </c>
    </row>
    <row r="348" spans="1:8" x14ac:dyDescent="0.3">
      <c r="A348" t="s">
        <v>307</v>
      </c>
      <c r="B348" t="s">
        <v>26</v>
      </c>
      <c r="C348">
        <v>0</v>
      </c>
      <c r="D348">
        <v>0</v>
      </c>
      <c r="E348">
        <v>0</v>
      </c>
      <c r="F348">
        <v>0</v>
      </c>
      <c r="G348" t="str">
        <f>B348&amp;"."&amp;A348</f>
        <v>sli.stg_BOS_AR_Customer_DSD</v>
      </c>
    </row>
    <row r="349" spans="1:8" x14ac:dyDescent="0.3">
      <c r="A349" t="s">
        <v>188</v>
      </c>
      <c r="B349" t="s">
        <v>26</v>
      </c>
      <c r="C349" s="3">
        <v>2924</v>
      </c>
      <c r="D349">
        <v>0.46</v>
      </c>
      <c r="E349">
        <v>0.36</v>
      </c>
      <c r="F349">
        <v>0.1</v>
      </c>
      <c r="G349" t="str">
        <f>B349&amp;"."&amp;A349</f>
        <v>sli.stg_BOS_BIZ_PeriodicCalendar</v>
      </c>
    </row>
    <row r="350" spans="1:8" x14ac:dyDescent="0.3">
      <c r="A350" t="s">
        <v>195</v>
      </c>
      <c r="B350" t="s">
        <v>26</v>
      </c>
      <c r="C350" s="3">
        <v>2299</v>
      </c>
      <c r="D350">
        <v>0.33</v>
      </c>
      <c r="E350">
        <v>0.23</v>
      </c>
      <c r="F350">
        <v>0.1</v>
      </c>
      <c r="G350" t="str">
        <f>B350&amp;"."&amp;A350</f>
        <v>sli.stg_BOS_GEN_Closing</v>
      </c>
    </row>
    <row r="351" spans="1:8" x14ac:dyDescent="0.3">
      <c r="A351" t="s">
        <v>306</v>
      </c>
      <c r="B351" t="s">
        <v>26</v>
      </c>
      <c r="C351">
        <v>0</v>
      </c>
      <c r="D351">
        <v>0</v>
      </c>
      <c r="E351">
        <v>0</v>
      </c>
      <c r="F351">
        <v>0</v>
      </c>
      <c r="G351" t="str">
        <f>B351&amp;"."&amp;A351</f>
        <v>sli.stg_BOS_GEN_Closing_DSD</v>
      </c>
    </row>
    <row r="352" spans="1:8" x14ac:dyDescent="0.3">
      <c r="A352" t="s">
        <v>219</v>
      </c>
      <c r="B352" t="s">
        <v>26</v>
      </c>
      <c r="C352" s="3">
        <v>233</v>
      </c>
      <c r="D352">
        <v>0.2</v>
      </c>
      <c r="E352">
        <v>0.05</v>
      </c>
      <c r="F352">
        <v>0.15</v>
      </c>
      <c r="G352" t="str">
        <f>B352&amp;"."&amp;A352</f>
        <v>sli.stg_BOS_GEN_Reason</v>
      </c>
    </row>
    <row r="353" spans="1:7" x14ac:dyDescent="0.3">
      <c r="A353" t="s">
        <v>327</v>
      </c>
      <c r="B353" t="s">
        <v>26</v>
      </c>
      <c r="C353">
        <v>0</v>
      </c>
      <c r="D353">
        <v>0</v>
      </c>
      <c r="E353">
        <v>0</v>
      </c>
      <c r="F353">
        <v>0</v>
      </c>
      <c r="G353" t="str">
        <f>B353&amp;"."&amp;A353</f>
        <v>sli.stg_BOS_GEN_Reason_DSD</v>
      </c>
    </row>
    <row r="354" spans="1:7" x14ac:dyDescent="0.3">
      <c r="A354" t="s">
        <v>328</v>
      </c>
      <c r="B354" t="s">
        <v>26</v>
      </c>
      <c r="C354">
        <v>0</v>
      </c>
      <c r="D354">
        <v>0</v>
      </c>
      <c r="E354">
        <v>0</v>
      </c>
      <c r="F354">
        <v>0</v>
      </c>
      <c r="G354" t="str">
        <f>B354&amp;"."&amp;A354</f>
        <v>sli.stg_BOS_GEN_RoutineSchedule</v>
      </c>
    </row>
    <row r="355" spans="1:7" x14ac:dyDescent="0.3">
      <c r="A355" t="s">
        <v>198</v>
      </c>
      <c r="B355" t="s">
        <v>26</v>
      </c>
      <c r="C355" s="3">
        <v>156</v>
      </c>
      <c r="D355">
        <v>0.28999999999999998</v>
      </c>
      <c r="E355">
        <v>0.17</v>
      </c>
      <c r="F355">
        <v>0.12</v>
      </c>
      <c r="G355" t="str">
        <f>B355&amp;"."&amp;A355</f>
        <v>sli.stg_BOS_GL_Workplace</v>
      </c>
    </row>
    <row r="356" spans="1:7" x14ac:dyDescent="0.3">
      <c r="A356" t="s">
        <v>329</v>
      </c>
      <c r="B356" t="s">
        <v>26</v>
      </c>
      <c r="C356">
        <v>0</v>
      </c>
      <c r="D356">
        <v>0</v>
      </c>
      <c r="E356">
        <v>0</v>
      </c>
      <c r="F356">
        <v>0</v>
      </c>
      <c r="G356" t="str">
        <f>B356&amp;"."&amp;A356</f>
        <v>sli.stg_BOS_GL_Workplace_DSD</v>
      </c>
    </row>
    <row r="357" spans="1:7" x14ac:dyDescent="0.3">
      <c r="A357" t="s">
        <v>164</v>
      </c>
      <c r="B357" t="s">
        <v>26</v>
      </c>
      <c r="C357" s="3">
        <v>2692</v>
      </c>
      <c r="D357">
        <v>1.27</v>
      </c>
      <c r="E357">
        <v>1.2</v>
      </c>
      <c r="F357">
        <v>7.0000000000000007E-2</v>
      </c>
      <c r="G357" t="str">
        <f>B357&amp;"."&amp;A357</f>
        <v>sli.stg_BOS_INV_Product</v>
      </c>
    </row>
    <row r="358" spans="1:7" x14ac:dyDescent="0.3">
      <c r="A358" t="s">
        <v>330</v>
      </c>
      <c r="B358" t="s">
        <v>26</v>
      </c>
      <c r="C358">
        <v>0</v>
      </c>
      <c r="D358">
        <v>0</v>
      </c>
      <c r="E358">
        <v>0</v>
      </c>
      <c r="F358">
        <v>0</v>
      </c>
      <c r="G358" t="str">
        <f>B358&amp;"."&amp;A358</f>
        <v>sli.stg_BOS_INV_Product_DSD</v>
      </c>
    </row>
    <row r="359" spans="1:7" x14ac:dyDescent="0.3">
      <c r="A359" t="s">
        <v>161</v>
      </c>
      <c r="B359" t="s">
        <v>26</v>
      </c>
      <c r="C359" s="3">
        <v>7358</v>
      </c>
      <c r="D359">
        <v>1.65</v>
      </c>
      <c r="E359">
        <v>1.55</v>
      </c>
      <c r="F359">
        <v>0.09</v>
      </c>
      <c r="G359" t="str">
        <f>B359&amp;"."&amp;A359</f>
        <v>sli.stg_BOS_PI_Employee</v>
      </c>
    </row>
    <row r="360" spans="1:7" x14ac:dyDescent="0.3">
      <c r="A360" t="s">
        <v>64</v>
      </c>
      <c r="B360" t="s">
        <v>26</v>
      </c>
      <c r="C360" s="3">
        <v>1830146</v>
      </c>
      <c r="D360">
        <v>485.12</v>
      </c>
      <c r="E360">
        <v>459.76</v>
      </c>
      <c r="F360">
        <v>25.36</v>
      </c>
      <c r="G360" t="str">
        <f>B360&amp;"."&amp;A360</f>
        <v>sli.stg_BOS_PI_Employee_ALL</v>
      </c>
    </row>
    <row r="361" spans="1:7" x14ac:dyDescent="0.3">
      <c r="A361" t="s">
        <v>331</v>
      </c>
      <c r="B361" t="s">
        <v>26</v>
      </c>
      <c r="C361">
        <v>0</v>
      </c>
      <c r="D361">
        <v>0</v>
      </c>
      <c r="E361">
        <v>0</v>
      </c>
      <c r="F361">
        <v>0</v>
      </c>
      <c r="G361" t="str">
        <f>B361&amp;"."&amp;A361</f>
        <v>sli.stg_BOS_PI_Employee_DSD</v>
      </c>
    </row>
    <row r="362" spans="1:7" x14ac:dyDescent="0.3">
      <c r="A362" t="s">
        <v>332</v>
      </c>
      <c r="B362" t="s">
        <v>26</v>
      </c>
      <c r="C362">
        <v>0</v>
      </c>
      <c r="D362">
        <v>0</v>
      </c>
      <c r="E362">
        <v>0</v>
      </c>
      <c r="F362">
        <v>0</v>
      </c>
      <c r="G362" t="str">
        <f>B362&amp;"."&amp;A362</f>
        <v>sli.stg_BOS_PI_Employee_DSD_ALL</v>
      </c>
    </row>
    <row r="363" spans="1:7" x14ac:dyDescent="0.3">
      <c r="A363" t="s">
        <v>45</v>
      </c>
      <c r="B363" t="s">
        <v>26</v>
      </c>
      <c r="C363" s="3">
        <v>6666716</v>
      </c>
      <c r="D363">
        <v>2497.4899999999998</v>
      </c>
      <c r="E363">
        <v>2029.79</v>
      </c>
      <c r="F363">
        <v>467.7</v>
      </c>
      <c r="G363" t="str">
        <f>B363&amp;"."&amp;A363</f>
        <v>sli.stg_BOS_SD_DjrTracking</v>
      </c>
    </row>
    <row r="364" spans="1:7" x14ac:dyDescent="0.3">
      <c r="A364" t="s">
        <v>336</v>
      </c>
      <c r="B364" t="s">
        <v>26</v>
      </c>
      <c r="C364">
        <v>0</v>
      </c>
      <c r="D364">
        <v>0</v>
      </c>
      <c r="E364">
        <v>0</v>
      </c>
      <c r="F364">
        <v>0</v>
      </c>
      <c r="G364" t="str">
        <f>B364&amp;"."&amp;A364</f>
        <v>sli.stg_BOS_SD_DjrTracking_DSD</v>
      </c>
    </row>
    <row r="365" spans="1:7" x14ac:dyDescent="0.3">
      <c r="A365" t="s">
        <v>78</v>
      </c>
      <c r="B365" t="s">
        <v>26</v>
      </c>
      <c r="C365" s="3">
        <v>379690</v>
      </c>
      <c r="D365">
        <v>225.84</v>
      </c>
      <c r="E365">
        <v>144.01</v>
      </c>
      <c r="F365">
        <v>81.84</v>
      </c>
      <c r="G365" t="str">
        <f>B365&amp;"."&amp;A365</f>
        <v>sli.stg_BOS_SD_Fdjr</v>
      </c>
    </row>
    <row r="366" spans="1:7" x14ac:dyDescent="0.3">
      <c r="A366" t="s">
        <v>335</v>
      </c>
      <c r="B366" t="s">
        <v>26</v>
      </c>
      <c r="C366">
        <v>0</v>
      </c>
      <c r="D366">
        <v>0</v>
      </c>
      <c r="E366">
        <v>0</v>
      </c>
      <c r="F366">
        <v>0</v>
      </c>
      <c r="G366" t="str">
        <f>B366&amp;"."&amp;A366</f>
        <v>sli.stg_BOS_SD_Fdjr_DSD</v>
      </c>
    </row>
    <row r="367" spans="1:7" x14ac:dyDescent="0.3">
      <c r="A367" t="s">
        <v>43</v>
      </c>
      <c r="B367" t="s">
        <v>26</v>
      </c>
      <c r="C367" s="3">
        <v>9074322</v>
      </c>
      <c r="D367">
        <v>2819.02</v>
      </c>
      <c r="E367">
        <v>2001.63</v>
      </c>
      <c r="F367">
        <v>817.38</v>
      </c>
      <c r="G367" t="str">
        <f>B367&amp;"."&amp;A367</f>
        <v>sli.stg_BOS_SD_FdjrItem</v>
      </c>
    </row>
    <row r="368" spans="1:7" x14ac:dyDescent="0.3">
      <c r="A368" t="s">
        <v>334</v>
      </c>
      <c r="B368" t="s">
        <v>26</v>
      </c>
      <c r="C368">
        <v>0</v>
      </c>
      <c r="D368">
        <v>0</v>
      </c>
      <c r="E368">
        <v>0</v>
      </c>
      <c r="F368">
        <v>0</v>
      </c>
      <c r="G368" t="str">
        <f>B368&amp;"."&amp;A368</f>
        <v>sli.stg_BOS_SD_FdjrItem_DSD</v>
      </c>
    </row>
    <row r="369" spans="1:7" x14ac:dyDescent="0.3">
      <c r="A369" t="s">
        <v>105</v>
      </c>
      <c r="B369" t="s">
        <v>26</v>
      </c>
      <c r="C369" s="3">
        <v>77293</v>
      </c>
      <c r="D369">
        <v>37.44</v>
      </c>
      <c r="E369">
        <v>26.23</v>
      </c>
      <c r="F369">
        <v>11.21</v>
      </c>
      <c r="G369" t="str">
        <f>B369&amp;"."&amp;A369</f>
        <v>sli.stg_BOS_SD_FdjrOOR</v>
      </c>
    </row>
    <row r="370" spans="1:7" x14ac:dyDescent="0.3">
      <c r="A370" t="s">
        <v>333</v>
      </c>
      <c r="B370" t="s">
        <v>26</v>
      </c>
      <c r="C370">
        <v>0</v>
      </c>
      <c r="D370">
        <v>0</v>
      </c>
      <c r="E370">
        <v>0</v>
      </c>
      <c r="F370">
        <v>0</v>
      </c>
      <c r="G370" t="str">
        <f>B370&amp;"."&amp;A370</f>
        <v>sli.stg_BOS_SD_FdjrOOR_DSD</v>
      </c>
    </row>
    <row r="371" spans="1:7" x14ac:dyDescent="0.3">
      <c r="A371" t="s">
        <v>89</v>
      </c>
      <c r="B371" t="s">
        <v>26</v>
      </c>
      <c r="C371" s="3">
        <v>225523</v>
      </c>
      <c r="D371">
        <v>112.74</v>
      </c>
      <c r="E371">
        <v>52.7</v>
      </c>
      <c r="F371">
        <v>60.04</v>
      </c>
      <c r="G371" t="str">
        <f>B371&amp;"."&amp;A371</f>
        <v>sli.stg_BOS_SD_FdjrOORItem</v>
      </c>
    </row>
    <row r="372" spans="1:7" x14ac:dyDescent="0.3">
      <c r="A372" t="s">
        <v>343</v>
      </c>
      <c r="B372" t="s">
        <v>26</v>
      </c>
      <c r="C372">
        <v>0</v>
      </c>
      <c r="D372">
        <v>0</v>
      </c>
      <c r="E372">
        <v>0</v>
      </c>
      <c r="F372">
        <v>0</v>
      </c>
      <c r="G372" t="str">
        <f>B372&amp;"."&amp;A372</f>
        <v>sli.stg_BOS_SD_FdjrOORItem_DSD</v>
      </c>
    </row>
    <row r="373" spans="1:7" x14ac:dyDescent="0.3">
      <c r="A373" t="s">
        <v>28</v>
      </c>
      <c r="B373" t="s">
        <v>26</v>
      </c>
      <c r="C373" s="3">
        <v>6920920</v>
      </c>
      <c r="D373">
        <v>10225.07</v>
      </c>
      <c r="E373">
        <v>8381.2000000000007</v>
      </c>
      <c r="F373">
        <v>1843.87</v>
      </c>
      <c r="G373" t="str">
        <f>B373&amp;"."&amp;A373</f>
        <v>sli.stg_BOS_SD_FDo</v>
      </c>
    </row>
    <row r="374" spans="1:7" x14ac:dyDescent="0.3">
      <c r="A374" t="s">
        <v>344</v>
      </c>
      <c r="B374" t="s">
        <v>26</v>
      </c>
      <c r="C374">
        <v>0</v>
      </c>
      <c r="D374">
        <v>0</v>
      </c>
      <c r="E374">
        <v>0</v>
      </c>
      <c r="F374">
        <v>0</v>
      </c>
      <c r="G374" t="str">
        <f>B374&amp;"."&amp;A374</f>
        <v>sli.stg_BOS_SD_FDo_DSD</v>
      </c>
    </row>
    <row r="375" spans="1:7" x14ac:dyDescent="0.3">
      <c r="A375" t="s">
        <v>25</v>
      </c>
      <c r="B375" t="s">
        <v>26</v>
      </c>
      <c r="C375" s="3">
        <v>29482554</v>
      </c>
      <c r="D375">
        <v>10890.14</v>
      </c>
      <c r="E375">
        <v>8781.4500000000007</v>
      </c>
      <c r="F375">
        <v>2108.6999999999998</v>
      </c>
      <c r="G375" t="str">
        <f>B375&amp;"."&amp;A375</f>
        <v>sli.stg_BOS_SD_FDoItem</v>
      </c>
    </row>
    <row r="376" spans="1:7" x14ac:dyDescent="0.3">
      <c r="A376" t="s">
        <v>342</v>
      </c>
      <c r="B376" t="s">
        <v>26</v>
      </c>
      <c r="C376">
        <v>0</v>
      </c>
      <c r="D376">
        <v>0</v>
      </c>
      <c r="E376">
        <v>0</v>
      </c>
      <c r="F376">
        <v>0</v>
      </c>
      <c r="G376" t="str">
        <f>B376&amp;"."&amp;A376</f>
        <v>sli.stg_BOS_SD_FDoItem_DSD</v>
      </c>
    </row>
    <row r="377" spans="1:7" x14ac:dyDescent="0.3">
      <c r="A377" t="s">
        <v>159</v>
      </c>
      <c r="B377" t="s">
        <v>26</v>
      </c>
      <c r="C377" s="3">
        <v>6603</v>
      </c>
      <c r="D377">
        <v>1.78</v>
      </c>
      <c r="E377">
        <v>1.73</v>
      </c>
      <c r="F377">
        <v>0.05</v>
      </c>
      <c r="G377" t="str">
        <f>B377&amp;"."&amp;A377</f>
        <v>sli.stg_BOS_SD_Route</v>
      </c>
    </row>
    <row r="378" spans="1:7" x14ac:dyDescent="0.3">
      <c r="A378" t="s">
        <v>67</v>
      </c>
      <c r="B378" t="s">
        <v>26</v>
      </c>
      <c r="C378" s="3">
        <v>1443520</v>
      </c>
      <c r="D378">
        <v>380.59</v>
      </c>
      <c r="E378">
        <v>373.25</v>
      </c>
      <c r="F378">
        <v>7.34</v>
      </c>
      <c r="G378" t="str">
        <f>B378&amp;"."&amp;A378</f>
        <v>sli.stg_BOS_SD_Route_ALL</v>
      </c>
    </row>
    <row r="379" spans="1:7" x14ac:dyDescent="0.3">
      <c r="A379" t="s">
        <v>338</v>
      </c>
      <c r="B379" t="s">
        <v>26</v>
      </c>
      <c r="C379">
        <v>0</v>
      </c>
      <c r="D379">
        <v>0</v>
      </c>
      <c r="E379">
        <v>0</v>
      </c>
      <c r="F379">
        <v>0</v>
      </c>
      <c r="G379" t="str">
        <f>B379&amp;"."&amp;A379</f>
        <v>sli.stg_BOS_SD_Route_DSD</v>
      </c>
    </row>
    <row r="380" spans="1:7" x14ac:dyDescent="0.3">
      <c r="A380" t="s">
        <v>339</v>
      </c>
      <c r="B380" t="s">
        <v>26</v>
      </c>
      <c r="C380">
        <v>0</v>
      </c>
      <c r="D380">
        <v>0</v>
      </c>
      <c r="E380">
        <v>0</v>
      </c>
      <c r="F380">
        <v>0</v>
      </c>
      <c r="G380" t="str">
        <f>B380&amp;"."&amp;A380</f>
        <v>sli.stg_BOS_SD_Route_DSD_ALL</v>
      </c>
    </row>
    <row r="381" spans="1:7" x14ac:dyDescent="0.3">
      <c r="A381" t="s">
        <v>108</v>
      </c>
      <c r="B381" t="s">
        <v>26</v>
      </c>
      <c r="C381" s="3">
        <v>196715</v>
      </c>
      <c r="D381">
        <v>29.03</v>
      </c>
      <c r="E381">
        <v>26.41</v>
      </c>
      <c r="F381">
        <v>2.63</v>
      </c>
      <c r="G381" t="str">
        <f>B381&amp;"."&amp;A381</f>
        <v>sli.stg_BOS_SD_RouteItem</v>
      </c>
    </row>
    <row r="382" spans="1:7" x14ac:dyDescent="0.3">
      <c r="A382" t="s">
        <v>35</v>
      </c>
      <c r="B382" t="s">
        <v>26</v>
      </c>
      <c r="C382" s="3">
        <v>39704020</v>
      </c>
      <c r="D382">
        <v>5589.88</v>
      </c>
      <c r="E382">
        <v>5469.98</v>
      </c>
      <c r="F382">
        <v>119.91</v>
      </c>
      <c r="G382" t="str">
        <f>B382&amp;"."&amp;A382</f>
        <v>sli.stg_BOS_SD_RouteItem_ALL</v>
      </c>
    </row>
    <row r="383" spans="1:7" x14ac:dyDescent="0.3">
      <c r="A383" t="s">
        <v>340</v>
      </c>
      <c r="B383" t="s">
        <v>26</v>
      </c>
      <c r="C383">
        <v>0</v>
      </c>
      <c r="D383">
        <v>0</v>
      </c>
      <c r="E383">
        <v>0</v>
      </c>
      <c r="F383">
        <v>0</v>
      </c>
      <c r="G383" t="str">
        <f>B383&amp;"."&amp;A383</f>
        <v>sli.stg_BOS_SD_RouteItem_DSD</v>
      </c>
    </row>
    <row r="384" spans="1:7" x14ac:dyDescent="0.3">
      <c r="A384" t="s">
        <v>341</v>
      </c>
      <c r="B384" t="s">
        <v>26</v>
      </c>
      <c r="C384">
        <v>0</v>
      </c>
      <c r="D384">
        <v>0</v>
      </c>
      <c r="E384">
        <v>0</v>
      </c>
      <c r="F384">
        <v>0</v>
      </c>
      <c r="G384" t="str">
        <f>B384&amp;"."&amp;A384</f>
        <v>sli.stg_BOS_SD_RouteItem_DSD_ALL</v>
      </c>
    </row>
    <row r="385" spans="1:7" x14ac:dyDescent="0.3">
      <c r="A385" t="s">
        <v>207</v>
      </c>
      <c r="B385" t="s">
        <v>26</v>
      </c>
      <c r="C385" s="3">
        <v>91</v>
      </c>
      <c r="D385">
        <v>0.21</v>
      </c>
      <c r="E385">
        <v>0.05</v>
      </c>
      <c r="F385">
        <v>0.16</v>
      </c>
      <c r="G385" t="str">
        <f>B385&amp;"."&amp;A385</f>
        <v>sli.stg_BOS_SD_SalesOrganization</v>
      </c>
    </row>
    <row r="386" spans="1:7" x14ac:dyDescent="0.3">
      <c r="A386" t="s">
        <v>337</v>
      </c>
      <c r="B386" t="s">
        <v>26</v>
      </c>
      <c r="C386">
        <v>0</v>
      </c>
      <c r="D386">
        <v>0</v>
      </c>
      <c r="E386">
        <v>0</v>
      </c>
      <c r="F386">
        <v>0</v>
      </c>
      <c r="G386" t="str">
        <f>B386&amp;"."&amp;A386</f>
        <v>sli.stg_BOS_SD_SalesOrganization_DSD</v>
      </c>
    </row>
    <row r="387" spans="1:7" x14ac:dyDescent="0.3">
      <c r="A387" t="s">
        <v>99</v>
      </c>
      <c r="B387" t="s">
        <v>26</v>
      </c>
      <c r="C387" s="3">
        <v>33475</v>
      </c>
      <c r="D387">
        <v>46.27</v>
      </c>
      <c r="E387">
        <v>43.14</v>
      </c>
      <c r="F387">
        <v>3.13</v>
      </c>
      <c r="G387" t="str">
        <f>B387&amp;"."&amp;A387</f>
        <v>sli.stg_INCR_BOS_AR_Customer</v>
      </c>
    </row>
    <row r="388" spans="1:7" x14ac:dyDescent="0.3">
      <c r="A388" t="s">
        <v>403</v>
      </c>
      <c r="B388" t="s">
        <v>26</v>
      </c>
      <c r="C388">
        <v>0</v>
      </c>
      <c r="D388">
        <v>0</v>
      </c>
      <c r="E388">
        <v>0</v>
      </c>
      <c r="F388">
        <v>0</v>
      </c>
      <c r="G388" t="str">
        <f>B388&amp;"."&amp;A388</f>
        <v>sli.stg_INCR_BOS_AR_Customer_DSD</v>
      </c>
    </row>
    <row r="389" spans="1:7" x14ac:dyDescent="0.3">
      <c r="A389" t="s">
        <v>210</v>
      </c>
      <c r="B389" t="s">
        <v>26</v>
      </c>
      <c r="C389" s="3">
        <v>23</v>
      </c>
      <c r="D389">
        <v>0.2</v>
      </c>
      <c r="E389">
        <v>0.04</v>
      </c>
      <c r="F389">
        <v>0.16</v>
      </c>
      <c r="G389" t="str">
        <f>B389&amp;"."&amp;A389</f>
        <v>sli.stg_INCR_BOS_GL_Workplace</v>
      </c>
    </row>
    <row r="390" spans="1:7" x14ac:dyDescent="0.3">
      <c r="A390" t="s">
        <v>402</v>
      </c>
      <c r="B390" t="s">
        <v>26</v>
      </c>
      <c r="C390">
        <v>0</v>
      </c>
      <c r="D390">
        <v>0</v>
      </c>
      <c r="E390">
        <v>0</v>
      </c>
      <c r="F390">
        <v>0</v>
      </c>
      <c r="G390" t="str">
        <f>B390&amp;"."&amp;A390</f>
        <v>sli.stg_INCR_BOS_GL_Workplace_DSD</v>
      </c>
    </row>
    <row r="391" spans="1:7" x14ac:dyDescent="0.3">
      <c r="A391" t="s">
        <v>70</v>
      </c>
      <c r="B391" t="s">
        <v>26</v>
      </c>
      <c r="C391" s="3">
        <v>700175</v>
      </c>
      <c r="D391">
        <v>309.57</v>
      </c>
      <c r="E391">
        <v>301.64999999999998</v>
      </c>
      <c r="F391">
        <v>7.92</v>
      </c>
      <c r="G391" t="str">
        <f>B391&amp;"."&amp;A391</f>
        <v>sli.stg_INCR_BOS_SD_DjrTracking</v>
      </c>
    </row>
    <row r="392" spans="1:7" x14ac:dyDescent="0.3">
      <c r="A392" t="s">
        <v>404</v>
      </c>
      <c r="B392" t="s">
        <v>26</v>
      </c>
      <c r="C392">
        <v>0</v>
      </c>
      <c r="D392">
        <v>0</v>
      </c>
      <c r="E392">
        <v>0</v>
      </c>
      <c r="F392">
        <v>0</v>
      </c>
      <c r="G392" t="str">
        <f>B392&amp;"."&amp;A392</f>
        <v>sli.stg_INCR_BOS_SD_DjrTracking_DSD</v>
      </c>
    </row>
    <row r="393" spans="1:7" x14ac:dyDescent="0.3">
      <c r="A393" t="s">
        <v>125</v>
      </c>
      <c r="B393" t="s">
        <v>26</v>
      </c>
      <c r="C393" s="3">
        <v>27659</v>
      </c>
      <c r="D393">
        <v>11.21</v>
      </c>
      <c r="E393">
        <v>10.65</v>
      </c>
      <c r="F393">
        <v>0.56000000000000005</v>
      </c>
      <c r="G393" t="str">
        <f>B393&amp;"."&amp;A393</f>
        <v>sli.stg_INCR_BOS_SD_FDjr</v>
      </c>
    </row>
    <row r="394" spans="1:7" x14ac:dyDescent="0.3">
      <c r="A394" t="s">
        <v>405</v>
      </c>
      <c r="B394" t="s">
        <v>26</v>
      </c>
      <c r="C394">
        <v>0</v>
      </c>
      <c r="D394">
        <v>0</v>
      </c>
      <c r="E394">
        <v>0</v>
      </c>
      <c r="F394">
        <v>0</v>
      </c>
      <c r="G394" t="str">
        <f>B394&amp;"."&amp;A394</f>
        <v>sli.stg_INCR_BOS_SD_FDjr_DSD</v>
      </c>
    </row>
    <row r="395" spans="1:7" x14ac:dyDescent="0.3">
      <c r="A395" t="s">
        <v>71</v>
      </c>
      <c r="B395" t="s">
        <v>26</v>
      </c>
      <c r="C395" s="3">
        <v>700175</v>
      </c>
      <c r="D395">
        <v>283.77999999999997</v>
      </c>
      <c r="E395">
        <v>275.33</v>
      </c>
      <c r="F395">
        <v>8.4499999999999993</v>
      </c>
      <c r="G395" t="str">
        <f>B395&amp;"."&amp;A395</f>
        <v>sli.stg_INCR_BOS_SD_FDjrItem</v>
      </c>
    </row>
    <row r="396" spans="1:7" x14ac:dyDescent="0.3">
      <c r="A396" t="s">
        <v>406</v>
      </c>
      <c r="B396" t="s">
        <v>26</v>
      </c>
      <c r="C396">
        <v>0</v>
      </c>
      <c r="D396">
        <v>0</v>
      </c>
      <c r="E396">
        <v>0</v>
      </c>
      <c r="F396">
        <v>0</v>
      </c>
      <c r="G396" t="str">
        <f>B396&amp;"."&amp;A396</f>
        <v>sli.stg_INCR_BOS_SD_FDjrItem_DSD</v>
      </c>
    </row>
    <row r="397" spans="1:7" x14ac:dyDescent="0.3">
      <c r="A397" t="s">
        <v>156</v>
      </c>
      <c r="B397" t="s">
        <v>26</v>
      </c>
      <c r="C397" s="3">
        <v>6154</v>
      </c>
      <c r="D397">
        <v>1.96</v>
      </c>
      <c r="E397">
        <v>1.83</v>
      </c>
      <c r="F397">
        <v>0.13</v>
      </c>
      <c r="G397" t="str">
        <f>B397&amp;"."&amp;A397</f>
        <v>sli.stg_INCR_BOS_SD_FDjrOOR</v>
      </c>
    </row>
    <row r="398" spans="1:7" x14ac:dyDescent="0.3">
      <c r="A398" t="s">
        <v>407</v>
      </c>
      <c r="B398" t="s">
        <v>26</v>
      </c>
      <c r="C398">
        <v>0</v>
      </c>
      <c r="D398">
        <v>0</v>
      </c>
      <c r="E398">
        <v>0</v>
      </c>
      <c r="F398">
        <v>0</v>
      </c>
      <c r="G398" t="str">
        <f>B398&amp;"."&amp;A398</f>
        <v>sli.stg_INCR_BOS_SD_FDjrOOR_DSD</v>
      </c>
    </row>
    <row r="399" spans="1:7" x14ac:dyDescent="0.3">
      <c r="A399" t="s">
        <v>147</v>
      </c>
      <c r="B399" t="s">
        <v>26</v>
      </c>
      <c r="C399" s="3">
        <v>14696</v>
      </c>
      <c r="D399">
        <v>3.47</v>
      </c>
      <c r="E399">
        <v>3.24</v>
      </c>
      <c r="F399">
        <v>0.23</v>
      </c>
      <c r="G399" t="str">
        <f>B399&amp;"."&amp;A399</f>
        <v>sli.stg_INCR_BOS_SD_FDjrOORItem</v>
      </c>
    </row>
    <row r="400" spans="1:7" x14ac:dyDescent="0.3">
      <c r="A400" t="s">
        <v>408</v>
      </c>
      <c r="B400" t="s">
        <v>26</v>
      </c>
      <c r="C400">
        <v>0</v>
      </c>
      <c r="D400">
        <v>0</v>
      </c>
      <c r="E400">
        <v>0</v>
      </c>
      <c r="F400">
        <v>0</v>
      </c>
      <c r="G400" t="str">
        <f>B400&amp;"."&amp;A400</f>
        <v>sli.stg_INCR_BOS_SD_FDjrOORItem_DSD</v>
      </c>
    </row>
    <row r="401" spans="1:7" x14ac:dyDescent="0.3">
      <c r="A401" t="s">
        <v>59</v>
      </c>
      <c r="B401" t="s">
        <v>26</v>
      </c>
      <c r="C401" s="3">
        <v>493397</v>
      </c>
      <c r="D401">
        <v>663.2</v>
      </c>
      <c r="E401">
        <v>615.54999999999995</v>
      </c>
      <c r="F401">
        <v>47.65</v>
      </c>
      <c r="G401" t="str">
        <f>B401&amp;"."&amp;A401</f>
        <v>sli.stg_INCR_BOS_SD_FDo</v>
      </c>
    </row>
    <row r="402" spans="1:7" x14ac:dyDescent="0.3">
      <c r="A402" t="s">
        <v>409</v>
      </c>
      <c r="B402" t="s">
        <v>26</v>
      </c>
      <c r="C402">
        <v>0</v>
      </c>
      <c r="D402">
        <v>0</v>
      </c>
      <c r="E402">
        <v>0</v>
      </c>
      <c r="F402">
        <v>0</v>
      </c>
      <c r="G402" t="str">
        <f>B402&amp;"."&amp;A402</f>
        <v>sli.stg_INCR_BOS_SD_FDo_DSD</v>
      </c>
    </row>
    <row r="403" spans="1:7" x14ac:dyDescent="0.3">
      <c r="A403" t="s">
        <v>58</v>
      </c>
      <c r="B403" t="s">
        <v>26</v>
      </c>
      <c r="C403" s="3">
        <v>2172029</v>
      </c>
      <c r="D403">
        <v>684.09</v>
      </c>
      <c r="E403">
        <v>645.32000000000005</v>
      </c>
      <c r="F403">
        <v>38.770000000000003</v>
      </c>
      <c r="G403" t="str">
        <f>B403&amp;"."&amp;A403</f>
        <v>sli.stg_INCR_BOS_SD_FDoItem</v>
      </c>
    </row>
    <row r="404" spans="1:7" x14ac:dyDescent="0.3">
      <c r="A404" t="s">
        <v>410</v>
      </c>
      <c r="B404" t="s">
        <v>26</v>
      </c>
      <c r="C404">
        <v>0</v>
      </c>
      <c r="D404">
        <v>0</v>
      </c>
      <c r="E404">
        <v>0</v>
      </c>
      <c r="F404">
        <v>0</v>
      </c>
      <c r="G404" t="str">
        <f>B404&amp;"."&amp;A404</f>
        <v>sli.stg_INCR_BOS_SD_FDoItem_DSD</v>
      </c>
    </row>
    <row r="405" spans="1:7" x14ac:dyDescent="0.3">
      <c r="A405" t="s">
        <v>72</v>
      </c>
      <c r="B405" t="s">
        <v>26</v>
      </c>
      <c r="C405" s="3">
        <v>618498</v>
      </c>
      <c r="D405">
        <v>276.97000000000003</v>
      </c>
      <c r="E405">
        <v>270.27999999999997</v>
      </c>
      <c r="F405">
        <v>6.69</v>
      </c>
      <c r="G405" t="str">
        <f>B405&amp;"."&amp;A405</f>
        <v>sli.stg_INCR_JTI_SD_FdjrItemStatus</v>
      </c>
    </row>
    <row r="406" spans="1:7" x14ac:dyDescent="0.3">
      <c r="A406" t="s">
        <v>386</v>
      </c>
      <c r="B406" t="s">
        <v>26</v>
      </c>
      <c r="C406">
        <v>0</v>
      </c>
      <c r="D406">
        <v>0</v>
      </c>
      <c r="E406">
        <v>0</v>
      </c>
      <c r="F406">
        <v>0</v>
      </c>
      <c r="G406" t="str">
        <f>B406&amp;"."&amp;A406</f>
        <v>sli.stg_INCR_JTI_SD_FdjrItemStatus_DSD</v>
      </c>
    </row>
    <row r="407" spans="1:7" x14ac:dyDescent="0.3">
      <c r="A407" t="s">
        <v>40</v>
      </c>
      <c r="B407" t="s">
        <v>26</v>
      </c>
      <c r="C407" s="3">
        <v>7916804</v>
      </c>
      <c r="D407">
        <v>3749.58</v>
      </c>
      <c r="E407">
        <v>2489.23</v>
      </c>
      <c r="F407">
        <v>1260.3399999999999</v>
      </c>
      <c r="G407" t="str">
        <f>B407&amp;"."&amp;A407</f>
        <v>sli.stg_JTI_SD_FdjrItemStatus</v>
      </c>
    </row>
    <row r="408" spans="1:7" x14ac:dyDescent="0.3">
      <c r="A408" t="s">
        <v>387</v>
      </c>
      <c r="B408" t="s">
        <v>26</v>
      </c>
      <c r="C408">
        <v>0</v>
      </c>
      <c r="D408">
        <v>0</v>
      </c>
      <c r="E408">
        <v>0</v>
      </c>
      <c r="F408">
        <v>0</v>
      </c>
      <c r="G408" t="str">
        <f>B408&amp;"."&amp;A408</f>
        <v>sli.stg_JTI_SD_FdjrItemStatus_DSD</v>
      </c>
    </row>
    <row r="409" spans="1:7" x14ac:dyDescent="0.3">
      <c r="A409" t="s">
        <v>388</v>
      </c>
      <c r="B409" t="s">
        <v>26</v>
      </c>
      <c r="C409">
        <v>0</v>
      </c>
      <c r="D409">
        <v>0</v>
      </c>
      <c r="E409">
        <v>0</v>
      </c>
      <c r="F409">
        <v>0</v>
      </c>
      <c r="G409" t="str">
        <f>B409&amp;"."&amp;A409</f>
        <v>sli.stg_temp_JTI_INCENTIVE</v>
      </c>
    </row>
    <row r="410" spans="1:7" x14ac:dyDescent="0.3">
      <c r="A410" t="s">
        <v>389</v>
      </c>
      <c r="B410" t="s">
        <v>26</v>
      </c>
      <c r="C410">
        <v>0</v>
      </c>
      <c r="D410">
        <v>0</v>
      </c>
      <c r="E410">
        <v>0</v>
      </c>
      <c r="F410">
        <v>0</v>
      </c>
      <c r="G410" t="str">
        <f>B410&amp;"."&amp;A410</f>
        <v>sli.stg_temp_JTI_INCENTIVE_ACTUALCALL</v>
      </c>
    </row>
    <row r="411" spans="1:7" x14ac:dyDescent="0.3">
      <c r="A411" t="s">
        <v>390</v>
      </c>
      <c r="B411" t="s">
        <v>26</v>
      </c>
      <c r="C411">
        <v>0</v>
      </c>
      <c r="D411">
        <v>0</v>
      </c>
      <c r="E411">
        <v>0</v>
      </c>
      <c r="F411">
        <v>0</v>
      </c>
      <c r="G411" t="str">
        <f>B411&amp;"."&amp;A411</f>
        <v xml:space="preserve">sli.stg_temp_JTI_INCENTIVE_ANCHOR </v>
      </c>
    </row>
    <row r="412" spans="1:7" x14ac:dyDescent="0.3">
      <c r="A412" t="s">
        <v>391</v>
      </c>
      <c r="B412" t="s">
        <v>26</v>
      </c>
      <c r="C412">
        <v>0</v>
      </c>
      <c r="D412">
        <v>0</v>
      </c>
      <c r="E412">
        <v>0</v>
      </c>
      <c r="F412">
        <v>0</v>
      </c>
      <c r="G412" t="str">
        <f>B412&amp;"."&amp;A412</f>
        <v>sli.stg_temp_JTI_INCENTIVE_EFFECTIVECALL</v>
      </c>
    </row>
    <row r="413" spans="1:7" x14ac:dyDescent="0.3">
      <c r="A413" t="s">
        <v>392</v>
      </c>
      <c r="B413" t="s">
        <v>26</v>
      </c>
      <c r="C413">
        <v>0</v>
      </c>
      <c r="D413">
        <v>0</v>
      </c>
      <c r="E413">
        <v>0</v>
      </c>
      <c r="F413">
        <v>0</v>
      </c>
      <c r="G413" t="str">
        <f>B413&amp;"."&amp;A413</f>
        <v>sli.stg_temp_JTI_INCENTIVE_existACTUALCALL_DSD</v>
      </c>
    </row>
    <row r="414" spans="1:7" x14ac:dyDescent="0.3">
      <c r="A414" t="s">
        <v>393</v>
      </c>
      <c r="B414" t="s">
        <v>26</v>
      </c>
      <c r="C414">
        <v>0</v>
      </c>
      <c r="D414">
        <v>0</v>
      </c>
      <c r="E414">
        <v>0</v>
      </c>
      <c r="F414">
        <v>0</v>
      </c>
      <c r="G414" t="str">
        <f>B414&amp;"."&amp;A414</f>
        <v>sli.stg_temp_JTI_INCENTIVE_ITEM</v>
      </c>
    </row>
    <row r="415" spans="1:7" x14ac:dyDescent="0.3">
      <c r="A415" t="s">
        <v>394</v>
      </c>
      <c r="B415" t="s">
        <v>26</v>
      </c>
      <c r="C415">
        <v>0</v>
      </c>
      <c r="D415">
        <v>0</v>
      </c>
      <c r="E415">
        <v>0</v>
      </c>
      <c r="F415">
        <v>0</v>
      </c>
      <c r="G415" t="str">
        <f>B415&amp;"."&amp;A415</f>
        <v>sli.stg_temp_JTI_INCENTIVE_LOG</v>
      </c>
    </row>
    <row r="416" spans="1:7" x14ac:dyDescent="0.3">
      <c r="A416" t="s">
        <v>395</v>
      </c>
      <c r="B416" t="s">
        <v>26</v>
      </c>
      <c r="C416">
        <v>0</v>
      </c>
      <c r="D416">
        <v>0</v>
      </c>
      <c r="E416">
        <v>0</v>
      </c>
      <c r="F416">
        <v>0</v>
      </c>
      <c r="G416" t="str">
        <f>B416&amp;"."&amp;A416</f>
        <v>sli.stg_temp_JTI_INCENTIVE_MASTER</v>
      </c>
    </row>
    <row r="417" spans="1:7" x14ac:dyDescent="0.3">
      <c r="A417" t="s">
        <v>396</v>
      </c>
      <c r="B417" t="s">
        <v>26</v>
      </c>
      <c r="C417">
        <v>0</v>
      </c>
      <c r="D417">
        <v>0</v>
      </c>
      <c r="E417">
        <v>0</v>
      </c>
      <c r="F417">
        <v>0</v>
      </c>
      <c r="G417" t="str">
        <f>B417&amp;"."&amp;A417</f>
        <v>sli.stg_temp_JTI_INCENTIVE_Previous</v>
      </c>
    </row>
    <row r="418" spans="1:7" x14ac:dyDescent="0.3">
      <c r="A418" t="s">
        <v>397</v>
      </c>
      <c r="B418" t="s">
        <v>26</v>
      </c>
      <c r="C418">
        <v>0</v>
      </c>
      <c r="D418">
        <v>0</v>
      </c>
      <c r="E418">
        <v>0</v>
      </c>
      <c r="F418">
        <v>0</v>
      </c>
      <c r="G418" t="str">
        <f>B418&amp;"."&amp;A418</f>
        <v>sli.stg_temp_JTI_INCENTIVE_RouteItem</v>
      </c>
    </row>
    <row r="419" spans="1:7" x14ac:dyDescent="0.3">
      <c r="A419" t="s">
        <v>398</v>
      </c>
      <c r="B419" t="s">
        <v>26</v>
      </c>
      <c r="C419">
        <v>0</v>
      </c>
      <c r="D419">
        <v>0</v>
      </c>
      <c r="E419">
        <v>0</v>
      </c>
      <c r="F419">
        <v>0</v>
      </c>
      <c r="G419" t="str">
        <f>B419&amp;"."&amp;A419</f>
        <v>sli.stg_temp_JTI_INCENTIVE_RouteItem_DSD</v>
      </c>
    </row>
    <row r="420" spans="1:7" x14ac:dyDescent="0.3">
      <c r="A420" t="s">
        <v>399</v>
      </c>
      <c r="B420" t="s">
        <v>26</v>
      </c>
      <c r="C420">
        <v>0</v>
      </c>
      <c r="D420">
        <v>0</v>
      </c>
      <c r="E420">
        <v>0</v>
      </c>
      <c r="F420">
        <v>0</v>
      </c>
      <c r="G420" t="str">
        <f>B420&amp;"."&amp;A420</f>
        <v>sli.stg_temp_JTI_INCENTIVE_Status</v>
      </c>
    </row>
    <row r="421" spans="1:7" x14ac:dyDescent="0.3">
      <c r="A421" t="s">
        <v>400</v>
      </c>
      <c r="B421" t="s">
        <v>26</v>
      </c>
      <c r="C421">
        <v>0</v>
      </c>
      <c r="D421">
        <v>0</v>
      </c>
      <c r="E421">
        <v>0</v>
      </c>
      <c r="F421">
        <v>0</v>
      </c>
      <c r="G421" t="str">
        <f>B421&amp;"."&amp;A421</f>
        <v>sli.stg_temp_JTI_INCENTIVE_Supervisor</v>
      </c>
    </row>
    <row r="422" spans="1:7" x14ac:dyDescent="0.3">
      <c r="A422" t="s">
        <v>401</v>
      </c>
      <c r="B422" t="s">
        <v>26</v>
      </c>
      <c r="C422">
        <v>0</v>
      </c>
      <c r="D422">
        <v>0</v>
      </c>
      <c r="E422">
        <v>0</v>
      </c>
      <c r="F422">
        <v>0</v>
      </c>
      <c r="G422" t="str">
        <f>B422&amp;"."&amp;A422</f>
        <v>sli.stg_temp_p_incentive</v>
      </c>
    </row>
    <row r="423" spans="1:7" x14ac:dyDescent="0.3">
      <c r="C423"/>
      <c r="D423" s="2">
        <f>SUM(D2:D422)</f>
        <v>844989.69999999797</v>
      </c>
      <c r="E423" s="2">
        <f>SUM(E2:E422)</f>
        <v>835140.10000000102</v>
      </c>
      <c r="F423" s="2">
        <f>SUM(F2:F422)</f>
        <v>9849.58</v>
      </c>
    </row>
  </sheetData>
  <autoFilter ref="A1:I423" xr:uid="{33EFC77B-0368-4168-92F5-775AED8864F8}">
    <sortState xmlns:xlrd2="http://schemas.microsoft.com/office/spreadsheetml/2017/richdata2" ref="A2:I423">
      <sortCondition ref="G2:G423"/>
    </sortState>
  </autoFilter>
  <sortState xmlns:xlrd2="http://schemas.microsoft.com/office/spreadsheetml/2017/richdata2" ref="A2:H422">
    <sortCondition ref="G2:G422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020b37f-db72-473e-ae54-fb16df408069}" enabled="1" method="Standard" siteId="{705d07a3-2eea-4f3b-ab59-65ca29abeb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Laksono, Agus</dc:creator>
  <cp:lastModifiedBy>Laksono, Agus</cp:lastModifiedBy>
  <dcterms:created xsi:type="dcterms:W3CDTF">2026-10-27T09:43:50Z</dcterms:created>
  <dcterms:modified xsi:type="dcterms:W3CDTF">2026-10-28T09:57:07Z</dcterms:modified>
</cp:coreProperties>
</file>