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jwc7149_corp_jti_com/Documents/Documents/"/>
    </mc:Choice>
  </mc:AlternateContent>
  <xr:revisionPtr revIDLastSave="182" documentId="8_{2665167F-77AB-437E-9BEA-0D3E88A99D80}" xr6:coauthVersionLast="47" xr6:coauthVersionMax="47" xr10:uidLastSave="{86D9CF73-C23D-4F4C-87A7-A03DAAC0F253}"/>
  <bookViews>
    <workbookView xWindow="-110" yWindow="-110" windowWidth="19420" windowHeight="10300" firstSheet="1" activeTab="4" xr2:uid="{7F3AC107-8166-49BD-8B50-49554BBB5763}"/>
  </bookViews>
  <sheets>
    <sheet name="Timeline" sheetId="1" r:id="rId1"/>
    <sheet name="List Table" sheetId="2" r:id="rId2"/>
    <sheet name="RetentionConfig" sheetId="3" r:id="rId3"/>
    <sheet name="RetentionTableStatus" sheetId="4" r:id="rId4"/>
    <sheet name="RetentionParameter" sheetId="5" r:id="rId5"/>
    <sheet name="RetentionRunLog" sheetId="6" r:id="rId6"/>
    <sheet name="RetentionTableLog" sheetId="7" r:id="rId7"/>
    <sheet name="RetentionArchiveDate" sheetId="8" r:id="rId8"/>
    <sheet name="RetentionStepLog" sheetId="9" r:id="rId9"/>
    <sheet name="RetentionTableLock" sheetId="10" r:id="rId10"/>
    <sheet name="RetentionErrorCode" sheetId="11" r:id="rId11"/>
    <sheet name="Trigger and Functions" sheetId="12" r:id="rId1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H3" i="1" l="1"/>
  <c r="I3" i="1" l="1"/>
  <c r="J3" i="1" l="1"/>
  <c r="K3" i="1" l="1"/>
  <c r="L3" i="1" l="1"/>
  <c r="M3" i="1" l="1"/>
  <c r="N3" i="1" l="1"/>
  <c r="O3" i="1" l="1"/>
  <c r="P3" i="1" l="1"/>
  <c r="Q3" i="1" l="1"/>
  <c r="R3" i="1" l="1"/>
</calcChain>
</file>

<file path=xl/sharedStrings.xml><?xml version="1.0" encoding="utf-8"?>
<sst xmlns="http://schemas.openxmlformats.org/spreadsheetml/2006/main" count="1178" uniqueCount="420">
  <si>
    <t>ID</t>
  </si>
  <si>
    <t>Aktivitas</t>
  </si>
  <si>
    <t>Mulai</t>
  </si>
  <si>
    <t>Selesai</t>
  </si>
  <si>
    <t>1</t>
  </si>
  <si>
    <t>Tahap 1 – Dokumentasi (BRD &amp; FSD)</t>
  </si>
  <si>
    <t/>
  </si>
  <si>
    <t>1.1</t>
  </si>
  <si>
    <t>1.2</t>
  </si>
  <si>
    <t>1.3</t>
  </si>
  <si>
    <t>1.4</t>
  </si>
  <si>
    <t>1.5</t>
  </si>
  <si>
    <t>2</t>
  </si>
  <si>
    <t>Tahap 2 – Pengembangan (build, SIT, uji performa)</t>
  </si>
  <si>
    <t>2.1</t>
  </si>
  <si>
    <t>Kesiapan infrastruktur oleh Customer: Integration Runtime, jaringan, storage container, akses database</t>
  </si>
  <si>
    <t>2.2</t>
  </si>
  <si>
    <t>2.3</t>
  </si>
  <si>
    <t>2.4</t>
  </si>
  <si>
    <t>2.5</t>
  </si>
  <si>
    <t>Unit test, code review, dan uji integrasi di DEV</t>
  </si>
  <si>
    <t>2.6</t>
  </si>
  <si>
    <t>System Integration Testing (termasuk skenario gagal, rerun, resume)</t>
  </si>
  <si>
    <t>2.7</t>
  </si>
  <si>
    <t>Uji performa terhadap baseline; tuning batch size/jeda; estimasi durasi Initial Cut-off per tabel</t>
  </si>
  <si>
    <t>2.8</t>
  </si>
  <si>
    <t>Persiapan UAT: skenario uji, data uji, akses pengguna</t>
  </si>
  <si>
    <t>2.9</t>
  </si>
  <si>
    <t>Dokumentasi operasional: desain, konfigurasi, setup, panduan operasional</t>
  </si>
  <si>
    <t>3</t>
  </si>
  <si>
    <t>Tahap 3 – User Acceptance Testing (UAT)</t>
  </si>
  <si>
    <t>3.1</t>
  </si>
  <si>
    <t>Eksekusi UAT</t>
  </si>
  <si>
    <t>3.2</t>
  </si>
  <si>
    <t>3.3</t>
  </si>
  <si>
    <t>Sign-off UAT</t>
  </si>
  <si>
    <t>4</t>
  </si>
  <si>
    <t>Tahap 4 – Implementasi (deployment dan Initial Cut-off Run)</t>
  </si>
  <si>
    <t>4.1</t>
  </si>
  <si>
    <t>4.2</t>
  </si>
  <si>
    <t>Keputusan Go/No-Go</t>
  </si>
  <si>
    <t>4.3</t>
  </si>
  <si>
    <t>Deployment ke production (trigger Daily Routine belum aktif); input konfigurasi oleh pengguna Customer</t>
  </si>
  <si>
    <t>4.4</t>
  </si>
  <si>
    <t>4.5</t>
  </si>
  <si>
    <t>4.6</t>
  </si>
  <si>
    <t>5</t>
  </si>
  <si>
    <t>Tahap 5 – Hypercare (monitoring dan support) selama 1 bulan</t>
  </si>
  <si>
    <t>5.1</t>
  </si>
  <si>
    <t>Monitoring intensif: hasil Initial Cut-off, eksekusi awal Daily Routine, review log harian dan rekonsiliasi</t>
  </si>
  <si>
    <t>5.2</t>
  </si>
  <si>
    <t>Knowledge transfer ke Tim Operasional / Support</t>
  </si>
  <si>
    <t>5.3</t>
  </si>
  <si>
    <t>Support hypercare reguler: penyelesaian isu, tuning batch, observasi akhir bulan</t>
  </si>
  <si>
    <t>5.4</t>
  </si>
  <si>
    <t>Kick-off proyek dan identifikasi stakeholder</t>
  </si>
  <si>
    <t>Penyusunan BRD (Business Requirements Document)</t>
  </si>
  <si>
    <t>Review, revisi, dan persetujuan BRD</t>
  </si>
  <si>
    <t>Penyusunan FSD (Functional Specification Document)</t>
  </si>
  <si>
    <t>1.6</t>
  </si>
  <si>
    <t>Review, revisi, dan persetujuan FSD</t>
  </si>
  <si>
    <t>Analisis tabel DWH dan technical assessment (kategori ukuran tabel, metode Initial Cut-off, objek dependen, indeks)</t>
  </si>
  <si>
    <t>Build objek database: tabel konfigurasi, tabel parameter, tabel log, dan stored procedure retensi</t>
  </si>
  <si>
    <t>Build pipeline ADF (Initial Cut-off Run, Daily Routine, arsip Parquet, penghapusan arsip kedaluwarsa) dan schedule trigger</t>
  </si>
  <si>
    <t>Minggu berjalan (hari ini) ditandai garis merah.</t>
  </si>
  <si>
    <t>Pengumpulan kebutuhan bisnis dan teknis</t>
  </si>
  <si>
    <t>Tuning dan uji ulang</t>
  </si>
  <si>
    <t>Persiapan deployment: runbook, rencana rollback, jadwal Initial Cut-off</t>
  </si>
  <si>
    <t>Initial Cut-off Run – tabel kecil dan menengah (batch delete)</t>
  </si>
  <si>
    <t>Initial Cut-off Run – tabel besar (table rebuild)</t>
  </si>
  <si>
    <t>Aktivasi Daily Routine – sehari setelah Initial Cut-off terakhir selesai</t>
  </si>
  <si>
    <t>Penutupan hypercare, serah terima, dan penutupan proyek</t>
  </si>
  <si>
    <t>Project timeline DWH data retention –  Weekly</t>
  </si>
  <si>
    <t>Table</t>
  </si>
  <si>
    <t>Group</t>
  </si>
  <si>
    <t>Function</t>
  </si>
  <si>
    <t>ret.RetentionConfig</t>
  </si>
  <si>
    <t>Configuration</t>
  </si>
  <si>
    <t>ret.RetentionTableStatus</t>
  </si>
  <si>
    <t>ret.RetentionParameter</t>
  </si>
  <si>
    <t>Global parameters: batch size, pause, IC window, retries, Daily Routine start date.</t>
  </si>
  <si>
    <t>ret.RetentionRunLog</t>
  </si>
  <si>
    <t>Logging</t>
  </si>
  <si>
    <t>ret.RetentionTableLog</t>
  </si>
  <si>
    <t>ret.RetentionArchiveDate</t>
  </si>
  <si>
    <t>ret.RetentionStepLog</t>
  </si>
  <si>
    <t>Detailed step trail for troubleshooting.</t>
  </si>
  <si>
    <t>ret.RetentionTableLock</t>
  </si>
  <si>
    <t>Control</t>
  </si>
  <si>
    <t>ret.RetentionErrorCode</t>
  </si>
  <si>
    <t>Reference</t>
  </si>
  <si>
    <t>Reference list of error and warning codes.</t>
  </si>
  <si>
    <t>Central configuration: one row per table under retention.</t>
  </si>
  <si>
    <t>Initial Cut-off status, completion date and blocking flags per table.</t>
  </si>
  <si>
    <t>One row per pipeline execution.</t>
  </si>
  <si>
    <t>One row per table per execution with all attributes and resume control.</t>
  </si>
  <si>
    <t>Per business date snapshot and export result; basis of row-count validation.</t>
  </si>
  <si>
    <t>Prevents two runs from processing the same table.</t>
  </si>
  <si>
    <t>List Table</t>
  </si>
  <si>
    <t>Column</t>
  </si>
  <si>
    <t>Data type</t>
  </si>
  <si>
    <t>Null</t>
  </si>
  <si>
    <t>Default</t>
  </si>
  <si>
    <t>Description</t>
  </si>
  <si>
    <t>TableConfigId</t>
  </si>
  <si>
    <t>INT IDENTITY</t>
  </si>
  <si>
    <t>No</t>
  </si>
  <si>
    <t>SYSNAME</t>
  </si>
  <si>
    <t>SchemaName</t>
  </si>
  <si>
    <t>TableName</t>
  </si>
  <si>
    <t>RetentionColumn</t>
  </si>
  <si>
    <t>DwhRetentionYears</t>
  </si>
  <si>
    <t>SMALLINT</t>
  </si>
  <si>
    <t>BlobPath</t>
  </si>
  <si>
    <t>NVARCHAR(400)</t>
  </si>
  <si>
    <t>InitialCutoffMethod</t>
  </si>
  <si>
    <t>VARCHAR(20)</t>
  </si>
  <si>
    <t>IsActive</t>
  </si>
  <si>
    <t>BIT</t>
  </si>
  <si>
    <t>SizeCategory</t>
  </si>
  <si>
    <t>VARCHAR(10)</t>
  </si>
  <si>
    <t>CreatedBy</t>
  </si>
  <si>
    <t>NVARCHAR(128)</t>
  </si>
  <si>
    <t>Login that created the row.</t>
  </si>
  <si>
    <t>CreatedAt</t>
  </si>
  <si>
    <t>DATETIME2(3)</t>
  </si>
  <si>
    <t>Now (UTC+7)</t>
  </si>
  <si>
    <t>Creation time (UTC+7).</t>
  </si>
  <si>
    <t>ModifiedBy</t>
  </si>
  <si>
    <t>Yes</t>
  </si>
  <si>
    <t>Login of the last change; set by trigger.</t>
  </si>
  <si>
    <t>ModifiedAt</t>
  </si>
  <si>
    <t>Time of the last change (UTC+7); set by trigger.</t>
  </si>
  <si>
    <t>BlobRetentionYears</t>
  </si>
  <si>
    <t>Surrogate key referenced by status, lock and log tables.</t>
  </si>
  <si>
    <t>Schema of the table under retention, e.g. BOS.</t>
  </si>
  <si>
    <t>Table under retention, e.g. JTI_SD_BrandDistDetail.</t>
  </si>
  <si>
    <t>Business date column. Must be date, datetime, datetime2 or smalldatetime and contain no NULL values; checked at run time.</t>
  </si>
  <si>
    <t>Table root folder inside the archive container. Unique; no leading or trailing slash.</t>
  </si>
  <si>
    <t>Initial Cut-off Run method: BATCH_DELETE or TABLE_REBUILD.</t>
  </si>
  <si>
    <t>SMALL, MEDIUM or LARGE from the technical assessment.</t>
  </si>
  <si>
    <t>1 = table is processed; 0 = excluded from process.</t>
  </si>
  <si>
    <t>INT</t>
  </si>
  <si>
    <t>Configuration entry (primary key and foreign key).</t>
  </si>
  <si>
    <t>InitialCutoffStatus</t>
  </si>
  <si>
    <t>PENDING</t>
  </si>
  <si>
    <t>InitialCutoffCompletionDate</t>
  </si>
  <si>
    <t>DATE</t>
  </si>
  <si>
    <t>LastInitialCutoffRunId</t>
  </si>
  <si>
    <t>BIGINT</t>
  </si>
  <si>
    <t>Last run that executed the Initial Cut-off Run for the table.</t>
  </si>
  <si>
    <t>HasOrphanFiles</t>
  </si>
  <si>
    <t>OrphanFilesRunId</t>
  </si>
  <si>
    <t>Run that left the orphan files.</t>
  </si>
  <si>
    <t>HasIntegrityIssue</t>
  </si>
  <si>
    <t>IntegrityIssueRunId</t>
  </si>
  <si>
    <t>Run that raised the integrity flag.</t>
  </si>
  <si>
    <t>HasReconciliationWarning</t>
  </si>
  <si>
    <t>ReconciliationWarningRunId</t>
  </si>
  <si>
    <t>Run that raised the warning.</t>
  </si>
  <si>
    <t>FlagComment</t>
  </si>
  <si>
    <t>Reason for the last flag change, including operator comments when cleared.</t>
  </si>
  <si>
    <t>Login of the last change.</t>
  </si>
  <si>
    <t>Time of the last change (UTC+7).</t>
  </si>
  <si>
    <t>PENDING, RUNNING, FAILED, STOPPED or COMPLETED.</t>
  </si>
  <si>
    <t>UTC+7 calendar date on which the Initial Cut-off Run completed. The Daily Routine includes the table only when run date &gt; this date.</t>
  </si>
  <si>
    <t>1 = archive files of a failed run could not be removed. Blocks processing.</t>
  </si>
  <si>
    <t>1 = integrity problem detected. Blocks processing.</t>
  </si>
  <si>
    <t>1 = deleted total differed from validated total. Informational, not blocking.</t>
  </si>
  <si>
    <t>ParameterSetId</t>
  </si>
  <si>
    <t>TINYINT</t>
  </si>
  <si>
    <t>BatchSize</t>
  </si>
  <si>
    <t>BatchPauseSeconds</t>
  </si>
  <si>
    <t>IcWindowStart</t>
  </si>
  <si>
    <t>TIME(0)</t>
  </si>
  <si>
    <t>IcWindowEnd</t>
  </si>
  <si>
    <t>DailyRoutineStartDate</t>
  </si>
  <si>
    <t>DeleteRetryCount</t>
  </si>
  <si>
    <t>DeleteLockTimeoutMs</t>
  </si>
  <si>
    <t>DailyNullCheckMode</t>
  </si>
  <si>
    <t>FULL</t>
  </si>
  <si>
    <t>KeepRebuildStagingTable</t>
  </si>
  <si>
    <t>ArchiveContainer</t>
  </si>
  <si>
    <t>NVARCHAR(63)</t>
  </si>
  <si>
    <t>First run date on which the Daily Routine selects tables. Set by usp_ActivateDailyRoutine.</t>
  </si>
  <si>
    <t>Retries per delete batch on deadlock (1205) or lock timeout (1222). NULL = no retry.</t>
  </si>
  <si>
    <t>LOCK_TIMEOUT for delete batches in milliseconds. NULL = wait indefinitely.</t>
  </si>
  <si>
    <t xml:space="preserve">Global parameter ID </t>
  </si>
  <si>
    <t xml:space="preserve">Azure Blob Storage container of the archive. </t>
  </si>
  <si>
    <t>schema/table/year/month/</t>
  </si>
  <si>
    <t>Maximum rows per delete batch.</t>
  </si>
  <si>
    <t>Pause between delete batches in seconds.</t>
  </si>
  <si>
    <t>FULL = count NULLs in the retention column every Daily Routine; METADATA = skip the data check for nullable columns.</t>
  </si>
  <si>
    <t>1 = keep the staging table after a table rebuild until sign-off.</t>
  </si>
  <si>
    <t>Years kept in the DWH.</t>
  </si>
  <si>
    <t>Years kept as Parquet files in Azure Blob Storage after the DWH period. Total retention is not stored: it is calculated as DwhRetentionYears + BlobRetentionYears (3 + 5 = 8).</t>
  </si>
  <si>
    <t>RunId</t>
  </si>
  <si>
    <t>BIGINT IDENTITY</t>
  </si>
  <si>
    <t>Unique execution identifier; also used in archive file names.</t>
  </si>
  <si>
    <t>AdfPipelineRunId</t>
  </si>
  <si>
    <t>UNIQUEIDENTIFIER</t>
  </si>
  <si>
    <t>ADF pipeline run ID. Unique when present; makes usp_StartRun idempotent on ADF retries.</t>
  </si>
  <si>
    <t>ProcessType</t>
  </si>
  <si>
    <t>RunDate</t>
  </si>
  <si>
    <t>IsRunDateOverride</t>
  </si>
  <si>
    <t>TriggerType</t>
  </si>
  <si>
    <t>SCHEDULE or MANUAL.</t>
  </si>
  <si>
    <t>TriggeredBy</t>
  </si>
  <si>
    <t>NVARCHAR(256)</t>
  </si>
  <si>
    <t>DowntimeReference</t>
  </si>
  <si>
    <t>NVARCHAR(100)</t>
  </si>
  <si>
    <t>StartTime</t>
  </si>
  <si>
    <t>Run start (UTC+7).</t>
  </si>
  <si>
    <t>EndTime</t>
  </si>
  <si>
    <t>Run end (UTC+7); NULL while RUNNING.</t>
  </si>
  <si>
    <t>Status</t>
  </si>
  <si>
    <t>VARCHAR(25)</t>
  </si>
  <si>
    <t>RUNNING</t>
  </si>
  <si>
    <t>RUNNING, SUCCEEDED, COMPLETED_WITH_ERRORS or FAILED.</t>
  </si>
  <si>
    <t>TablesSelected</t>
  </si>
  <si>
    <t>Tables selected for processing.</t>
  </si>
  <si>
    <t>TablesSucceeded</t>
  </si>
  <si>
    <t>Tables ended SUCCEEDED or NODATA.</t>
  </si>
  <si>
    <t>TablesFailed</t>
  </si>
  <si>
    <t>Tables ended FAILED or STOPPED.</t>
  </si>
  <si>
    <t>TablesSkipped</t>
  </si>
  <si>
    <t>Tables skipped (not eligible or locked).</t>
  </si>
  <si>
    <t>ErrorCode</t>
  </si>
  <si>
    <t>VARCHAR(12)</t>
  </si>
  <si>
    <t>Run-level error code, if any.</t>
  </si>
  <si>
    <t>ErrorMessage</t>
  </si>
  <si>
    <t>NVARCHAR(MAX)</t>
  </si>
  <si>
    <t>Run-level error details.</t>
  </si>
  <si>
    <t>IsClosedManually</t>
  </si>
  <si>
    <t>1 = closed by an operator with usp_AdminCloseStaleRun.</t>
  </si>
  <si>
    <t>ClosedBy</t>
  </si>
  <si>
    <t>Operator who closed the run manually.</t>
  </si>
  <si>
    <t>CloseComment</t>
  </si>
  <si>
    <t>Investigation comment entered by the operator.</t>
  </si>
  <si>
    <t>INITIAL_CUTOFF, DAILY_ROUTINE or VALIDATION.</t>
  </si>
  <si>
    <t>Run date in UTC+7, fixed for the whole run.</t>
  </si>
  <si>
    <t>1 = run date differs from the current UTC+7 date (manual rerun for an earlier date).</t>
  </si>
  <si>
    <t>Operator identity for manual runs.</t>
  </si>
  <si>
    <t>Approved downtime reference; required for LARGE tables and TABLE_REBUILD.</t>
  </si>
  <si>
    <t>TableLogId</t>
  </si>
  <si>
    <t>Unique identifier of the table log.</t>
  </si>
  <si>
    <t>Execution (FK to RetentionRunLog).</t>
  </si>
  <si>
    <t>Configured table (FK to RetentionConfig).</t>
  </si>
  <si>
    <t>DwhCutoffDate</t>
  </si>
  <si>
    <t>ArchiveCutoffDate</t>
  </si>
  <si>
    <t>MethodUsed</t>
  </si>
  <si>
    <t>BATCH_DELETE or TABLE_REBUILD.</t>
  </si>
  <si>
    <t>EligibleRows</t>
  </si>
  <si>
    <t>ArchivedSegmentRows</t>
  </si>
  <si>
    <t>Initial Cut-off Run: rows from archive cut-off to the day before DWH cut-off.</t>
  </si>
  <si>
    <t>ExpiredSegmentRows</t>
  </si>
  <si>
    <t>ExportDateCount</t>
  </si>
  <si>
    <t>Number of business dates to export.</t>
  </si>
  <si>
    <t>RowsExported</t>
  </si>
  <si>
    <t>PreDeleteRecount</t>
  </si>
  <si>
    <t>RowsDeleted</t>
  </si>
  <si>
    <t>ResumeRowsDeleted</t>
  </si>
  <si>
    <t>DeleteBatchCount</t>
  </si>
  <si>
    <t>Number of delete batches executed.</t>
  </si>
  <si>
    <t>RebuildStagingTable</t>
  </si>
  <si>
    <t>NVARCHAR(260)</t>
  </si>
  <si>
    <t>Staging table of a table rebuild, if kept (DEC-08).</t>
  </si>
  <si>
    <t>ArchiveFoldersDeleted</t>
  </si>
  <si>
    <t>ArchiveFilesDeleted</t>
  </si>
  <si>
    <t>RetainedRowsBefore</t>
  </si>
  <si>
    <t>RetainedRowsAfter</t>
  </si>
  <si>
    <t>IsValidated</t>
  </si>
  <si>
    <t>ValidatedRangeFrom</t>
  </si>
  <si>
    <t>Inclusive lower bound of the validated range; NULL = unbounded.</t>
  </si>
  <si>
    <t>ValidatedRangeTo</t>
  </si>
  <si>
    <t>Exclusive upper bound of the validated range (= DWH cut-off date).</t>
  </si>
  <si>
    <t>ValidatedRowCount</t>
  </si>
  <si>
    <t>Rows expected to be deleted in the validated range.</t>
  </si>
  <si>
    <t>DeleteStatus</t>
  </si>
  <si>
    <t>VARCHAR(15)</t>
  </si>
  <si>
    <t>NOT_STARTED</t>
  </si>
  <si>
    <t>NOT_STARTED, IN_PROGRESS, COMPLETED, FAILED or NOT_REQUIRED. A validated range not COMPLETED is resumed by the next run.</t>
  </si>
  <si>
    <t>ResumedByRunId</t>
  </si>
  <si>
    <t>Run that completed an interrupted deletion of this range.</t>
  </si>
  <si>
    <t>ErrorNumber</t>
  </si>
  <si>
    <t>SQL Server or ADF error number.</t>
  </si>
  <si>
    <t>ErrorStep</t>
  </si>
  <si>
    <t>VARCHAR(30)</t>
  </si>
  <si>
    <t>Step in which the error occurred.</t>
  </si>
  <si>
    <t>Process type of the run.</t>
  </si>
  <si>
    <t>Run date, UTC+7.</t>
  </si>
  <si>
    <t>Run date minus DWH retention.</t>
  </si>
  <si>
    <t>Run date minus total retention.</t>
  </si>
  <si>
    <t>Rows to remove from the DWH. Initial Cut-off Run: archived plus expired rows.</t>
  </si>
  <si>
    <t>Initial Cut-off Run: rows before the archive cut-off (deleted without archiving).</t>
  </si>
  <si>
    <t>Rows written to Parquet.</t>
  </si>
  <si>
    <t>Recount of the validated range immediately before deletion.</t>
  </si>
  <si>
    <t>Rows deleted from the DWH for this log's validated range.</t>
  </si>
  <si>
    <t>Rows this run deleted for an earlier run's validated range (resume).</t>
  </si>
  <si>
    <t>Expired archive folders deleted.</t>
  </si>
  <si>
    <t>Expired archive files deleted.</t>
  </si>
  <si>
    <t>Initial Cut-off Run: rows on or after the DWH cut-off before deletion.</t>
  </si>
  <si>
    <t>Initial Cut-off Run: same count after deletion.</t>
  </si>
  <si>
    <t>1 = archive validation passed; deletion of the range may proceed.</t>
  </si>
  <si>
    <t>RUNNING, SUCCEEDED, NODATA, FAILED, SKIPPED or STOPPED.</t>
  </si>
  <si>
    <t>Table processing start (UTC+7).</t>
  </si>
  <si>
    <t>Table processing end (UTC+7).</t>
  </si>
  <si>
    <t>First (non-warning) error code.</t>
  </si>
  <si>
    <t>Error details; later messages are appended.</t>
  </si>
  <si>
    <t>Table log (FK).</t>
  </si>
  <si>
    <t>BusinessDate</t>
  </si>
  <si>
    <t>Business date of the exported rows.</t>
  </si>
  <si>
    <t>Run that exported the date (FK).</t>
  </si>
  <si>
    <t>Configured table (FK).</t>
  </si>
  <si>
    <t>ExpectedRows</t>
  </si>
  <si>
    <t>RowsRead</t>
  </si>
  <si>
    <t>Rows read by the ADF Copy activity.</t>
  </si>
  <si>
    <t>RowsWritten</t>
  </si>
  <si>
    <t>FileCount</t>
  </si>
  <si>
    <t>Parquet files written for the date.</t>
  </si>
  <si>
    <t>FolderPath</t>
  </si>
  <si>
    <t>NVARCHAR(1024)</t>
  </si>
  <si>
    <t>FileName</t>
  </si>
  <si>
    <t>ExportStatus</t>
  </si>
  <si>
    <t>ValidationResult</t>
  </si>
  <si>
    <t>PASSED or FAILED: ExpectedRows = RowsRead = RowsWritten.</t>
  </si>
  <si>
    <t>ExportStartTime</t>
  </si>
  <si>
    <t>Copy activity start (UTC+7), when supplied by ADF.</t>
  </si>
  <si>
    <t>ExportEndTime</t>
  </si>
  <si>
    <t>Time the result was recorded (UTC+7).</t>
  </si>
  <si>
    <t>Copy activity error, if any.</t>
  </si>
  <si>
    <t>Rows counted in the DWH for this date before export (snapshot).</t>
  </si>
  <si>
    <t>Rows written to Parquet by the ADF Copy activity.</t>
  </si>
  <si>
    <t>&lt;BlobPath&gt;/business_date=yyyy-MM-dd.</t>
  </si>
  <si>
    <t>&lt;schema&gt;_&lt;table&gt;_&lt;yyyyMMdd&gt;_&lt;RunId&gt;.parquet; never overwritten.</t>
  </si>
  <si>
    <t>PENDING, SUCCEEDED, FAILED, STOPPED, or REMOVED (files of a failed run deleted).</t>
  </si>
  <si>
    <t>StepLogId</t>
  </si>
  <si>
    <t>Unique identifier of the step record.</t>
  </si>
  <si>
    <t>Execution (FK).</t>
  </si>
  <si>
    <t>Table log; NULL for run-level steps.</t>
  </si>
  <si>
    <t>Configured table; NULL for run-level steps.</t>
  </si>
  <si>
    <t>StepCode</t>
  </si>
  <si>
    <t>START_RUN, SELECT_TABLES, LOCK, VALIDATE, RESUME, COUNT, EXPORT, VALIDATE-ARCHIVE, RECOUNT, DELETE, REBUILD, POSTCHECK, CLEANUP, EXPIRE, END_TABLE, END_RUN or ADMIN.</t>
  </si>
  <si>
    <t>ValidationCheckCode</t>
  </si>
  <si>
    <t>VARCHAR(4)</t>
  </si>
  <si>
    <t>V-01 to V-09 for a failed validation check.</t>
  </si>
  <si>
    <t>Business date for export steps.</t>
  </si>
  <si>
    <t>Expected rows (snapshot).</t>
  </si>
  <si>
    <t>Rows read (export).</t>
  </si>
  <si>
    <t>Rows written (export).</t>
  </si>
  <si>
    <t>FilePath</t>
  </si>
  <si>
    <t>NVARCHAR(2000)</t>
  </si>
  <si>
    <t>File written or deleted.</t>
  </si>
  <si>
    <t>Files written, deleted or removed.</t>
  </si>
  <si>
    <t>BatchCount</t>
  </si>
  <si>
    <t>Delete batches executed.</t>
  </si>
  <si>
    <t>RowsProcessed</t>
  </si>
  <si>
    <t>Rows deleted, or folders deleted for EXPIRE.</t>
  </si>
  <si>
    <t>ReferenceRunId</t>
  </si>
  <si>
    <t>For RESUME: run that owns the resumed range.</t>
  </si>
  <si>
    <t>RUNNING, SUCCEEDED, FAILED, SKIPPED, STOPPED or WARNING.</t>
  </si>
  <si>
    <t>Step start (UTC+7).</t>
  </si>
  <si>
    <t>Step end (UTC+7).</t>
  </si>
  <si>
    <t>Message</t>
  </si>
  <si>
    <t>NVARCHAR(4000)</t>
  </si>
  <si>
    <t>Informational or warning text.</t>
  </si>
  <si>
    <t>Error code of a failed step.</t>
  </si>
  <si>
    <t>Error details.</t>
  </si>
  <si>
    <t>Locked table (primary key: one lock per table).</t>
  </si>
  <si>
    <t>Run holding the lock.</t>
  </si>
  <si>
    <t>Process type of the holding run.</t>
  </si>
  <si>
    <t>AcquiredAt</t>
  </si>
  <si>
    <t>Time the lock was acquired (UTC+7).</t>
  </si>
  <si>
    <t>AcquiredBy</t>
  </si>
  <si>
    <t>Login that acquired the lock.</t>
  </si>
  <si>
    <t>Code in the format ERR-XXX-nn.</t>
  </si>
  <si>
    <t>Category</t>
  </si>
  <si>
    <t>NVARCHAR(50)</t>
  </si>
  <si>
    <t>Error category.</t>
  </si>
  <si>
    <t>Meaning of the code.</t>
  </si>
  <si>
    <t>IsWarning</t>
  </si>
  <si>
    <t>1 = warning (non-blocking), 0 = error.</t>
  </si>
  <si>
    <t>Trigger</t>
  </si>
  <si>
    <t>Event</t>
  </si>
  <si>
    <t>Behaviour</t>
  </si>
  <si>
    <t>ret.trg_RetentionConfig_AfterInsert</t>
  </si>
  <si>
    <t>AFTER INSERT on RetentionConfig</t>
  </si>
  <si>
    <t>Creates the RetentionTableStatus row with Initial Cut-off status PENDING, so that a new table is not processed by the Daily Routine before its own Initial Cut-off Run.</t>
  </si>
  <si>
    <t>ret.trg_RetentionConfig_AfterUpdate</t>
  </si>
  <si>
    <t>AFTER UPDATE on RetentionConfig</t>
  </si>
  <si>
    <t>Sets ModifiedBy and ModifiedAt. Rejects changes to database, schema, table, retention column or blob path once the Initial Cut-off Run is RUNNING or COMPLETED, or any range of the table has been validated, because the archive would become inconsistent.</t>
  </si>
  <si>
    <t>Parameters</t>
  </si>
  <si>
    <t>Returns</t>
  </si>
  <si>
    <t>Purpose</t>
  </si>
  <si>
    <t>ret.fn_NowUtc7</t>
  </si>
  <si>
    <t>(none)</t>
  </si>
  <si>
    <t>ret.fn_TodayUtc7</t>
  </si>
  <si>
    <t>Current date in UTC+7; default run date and Initial Cut-off completion date.</t>
  </si>
  <si>
    <t>ret.fn_GetCutoffDates</t>
  </si>
  <si>
    <t>@RunDate DATE, @DwhRetentionYears SMALLINT, @BlobRetentionYears SMALLINT</t>
  </si>
  <si>
    <t>TABLE (TotalRetentionYears, DwhCutoffDate, ArchiveCutoffDate)</t>
  </si>
  <si>
    <t>ret.fn_IsWithinWindow</t>
  </si>
  <si>
    <t>@Time TIME(0), @WindowStart TIME(0), @WindowEnd TIME(0)</t>
  </si>
  <si>
    <t>ret.fn_ArchiveFolderPath</t>
  </si>
  <si>
    <t>@BlobPath NVARCHAR(400), @BusinessDate DATE</t>
  </si>
  <si>
    <t>ret.fn_ArchiveFileName</t>
  </si>
  <si>
    <t>@SchemaName SYSNAME, @TableName SYSNAME, @BusinessDate DATE, @RunId BIGINT</t>
  </si>
  <si>
    <t>ret.fn_DelayString</t>
  </si>
  <si>
    <t>@Seconds INT</t>
  </si>
  <si>
    <t>CHAR(8)</t>
  </si>
  <si>
    <t>Functions</t>
  </si>
  <si>
    <t>Triggers</t>
  </si>
  <si>
    <t>Current date and time in UTC+7. Azure SQL Database runs in UTC, so GETDATE() is not used.</t>
  </si>
  <si>
    <t>Total retention and cut-off dates : TotalRetentionYears = DWH + Blob years; DWH cut-off = run date - DWH years; archive cut-off = run date - (DWH + Blob) years. Example : run date 2026-10-27 with 3 + 5 years gives 8, 2023-10-27 and 2018-10-27. Single source of the formula for all procedures and for ADF.</t>
  </si>
  <si>
    <t>Archive folder &lt;BlobPath&gt;/business_date=yyyy-MM-dd.</t>
  </si>
  <si>
    <t>Archive file name &lt;schema&gt;_&lt;table&gt;_&lt;yyyyMMdd&gt;_&lt;RunId&gt;.parquet.</t>
  </si>
  <si>
    <t>Converts seconds to hh:mm:ss for WAITFOR DELAY (pause between batches).</t>
  </si>
  <si>
    <t>1 when a time is inside a window that may cross midnight, e.g. 09:pm - 05:00 AM.</t>
  </si>
  <si>
    <t>Start of the Initial Cut-off Run window. Default 09:00 PM UTC+7.</t>
  </si>
  <si>
    <t>End of the Initial Cut-off Run window. Default 05:00 AM UTC+7.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</si>
</sst>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"/>
    <numFmt numFmtId="165" formatCode="dd\-mmm\-yy"/>
    <numFmt numFmtId="166" formatCode=";;;@"/>
    <numFmt numFmtId="167" formatCode="[$-409]h:mm\ AM/PM;@"/>
  </numFmts>
  <fonts count="17" x14ac:knownFonts="1"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4"/>
      <color rgb="FF1F3864"/>
      <name val="Arial"/>
      <charset val="1"/>
    </font>
    <font>
      <b/>
      <sz val="9"/>
      <color rgb="FF1F3864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sz val="8"/>
      <color rgb="FF000000"/>
      <name val="Arial"/>
      <charset val="1"/>
    </font>
    <font>
      <b/>
      <sz val="9"/>
      <color rgb="FF1F4E79"/>
      <name val="Arial"/>
      <charset val="1"/>
    </font>
    <font>
      <b/>
      <sz val="9"/>
      <color rgb="FF385723"/>
      <name val="Arial"/>
      <charset val="1"/>
    </font>
    <font>
      <b/>
      <sz val="9"/>
      <color rgb="FFBF8F00"/>
      <name val="Arial"/>
      <charset val="1"/>
    </font>
    <font>
      <b/>
      <sz val="9"/>
      <color rgb="FFC55A11"/>
      <name val="Arial"/>
      <charset val="1"/>
    </font>
    <font>
      <b/>
      <sz val="9"/>
      <color rgb="FF7030A0"/>
      <name val="Arial"/>
      <charset val="1"/>
    </font>
    <font>
      <i/>
      <sz val="8"/>
      <color rgb="FF595959"/>
      <name val="Arial"/>
      <charset val="1"/>
    </font>
    <font>
      <b/>
      <sz val="8.5"/>
      <color rgb="FFFFFFFF"/>
      <name val="Calibri"/>
      <family val="2"/>
    </font>
    <font>
      <sz val="8.5"/>
      <color theme="1"/>
      <name val="Calibri"/>
      <family val="2"/>
    </font>
    <font>
      <sz val="8.5"/>
      <color rgb="FF000000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1F4E79"/>
        <bgColor rgb="FF1F3864"/>
      </patternFill>
    </fill>
    <fill>
      <patternFill patternType="solid">
        <fgColor rgb="FF385723"/>
        <bgColor rgb="FF404040"/>
      </patternFill>
    </fill>
    <fill>
      <patternFill patternType="solid">
        <fgColor rgb="FFBF8F00"/>
        <bgColor rgb="FF808000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1F3864"/>
        <bgColor indexed="64"/>
      </patternFill>
    </fill>
    <fill>
      <patternFill patternType="solid">
        <fgColor rgb="FFF7F9F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A6B4C8"/>
      </left>
      <right style="medium">
        <color rgb="FFA6B4C8"/>
      </right>
      <top style="medium">
        <color rgb="FFA6B4C8"/>
      </top>
      <bottom style="medium">
        <color rgb="FFA6B4C8"/>
      </bottom>
      <diagonal/>
    </border>
    <border>
      <left/>
      <right style="medium">
        <color rgb="FFA6B4C8"/>
      </right>
      <top style="medium">
        <color rgb="FFA6B4C8"/>
      </top>
      <bottom style="medium">
        <color rgb="FFA6B4C8"/>
      </bottom>
      <diagonal/>
    </border>
    <border>
      <left style="medium">
        <color rgb="FFA6B4C8"/>
      </left>
      <right style="medium">
        <color rgb="FFA6B4C8"/>
      </right>
      <top/>
      <bottom style="medium">
        <color rgb="FFA6B4C8"/>
      </bottom>
      <diagonal/>
    </border>
    <border>
      <left/>
      <right style="medium">
        <color rgb="FFA6B4C8"/>
      </right>
      <top/>
      <bottom style="medium">
        <color rgb="FFA6B4C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textRotation="90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5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5" fontId="5" fillId="6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5" fontId="5" fillId="7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3" fillId="8" borderId="2" xfId="0" applyFont="1" applyFill="1" applyBorder="1" applyAlignment="1">
      <alignment vertical="center"/>
    </xf>
    <xf numFmtId="0" fontId="13" fillId="8" borderId="3" xfId="0" applyFont="1" applyFill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5" fillId="9" borderId="4" xfId="0" applyFont="1" applyFill="1" applyBorder="1" applyAlignment="1">
      <alignment vertical="center"/>
    </xf>
    <xf numFmtId="0" fontId="15" fillId="9" borderId="5" xfId="0" applyFont="1" applyFill="1" applyBorder="1" applyAlignment="1">
      <alignment vertical="center"/>
    </xf>
    <xf numFmtId="0" fontId="1" fillId="0" borderId="0" xfId="0" applyFont="1"/>
    <xf numFmtId="0" fontId="13" fillId="8" borderId="2" xfId="0" applyFont="1" applyFill="1" applyBorder="1" applyAlignment="1">
      <alignment vertical="center" wrapText="1"/>
    </xf>
    <xf numFmtId="0" fontId="13" fillId="8" borderId="3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6" fillId="0" borderId="0" xfId="0" applyFont="1"/>
    <xf numFmtId="0" fontId="16" fillId="0" borderId="5" xfId="0" applyFont="1" applyBorder="1" applyAlignment="1">
      <alignment vertical="center" wrapText="1"/>
    </xf>
    <xf numFmtId="0" fontId="15" fillId="9" borderId="4" xfId="0" applyFont="1" applyFill="1" applyBorder="1" applyAlignment="1">
      <alignment vertical="center" wrapText="1"/>
    </xf>
    <xf numFmtId="0" fontId="15" fillId="9" borderId="5" xfId="0" applyFont="1" applyFill="1" applyBorder="1" applyAlignment="1">
      <alignment vertical="center" wrapText="1"/>
    </xf>
    <xf numFmtId="0" fontId="16" fillId="9" borderId="5" xfId="0" applyFont="1" applyFill="1" applyBorder="1" applyAlignment="1">
      <alignment vertical="center" wrapText="1"/>
    </xf>
    <xf numFmtId="0" fontId="16" fillId="0" borderId="5" xfId="0" applyFont="1" applyBorder="1" applyAlignment="1">
      <alignment vertical="center"/>
    </xf>
    <xf numFmtId="0" fontId="16" fillId="9" borderId="5" xfId="0" applyFont="1" applyFill="1" applyBorder="1" applyAlignment="1">
      <alignment vertical="center"/>
    </xf>
    <xf numFmtId="167" fontId="15" fillId="9" borderId="5" xfId="0" applyNumberFormat="1" applyFont="1" applyFill="1" applyBorder="1" applyAlignment="1">
      <alignment vertical="center"/>
    </xf>
    <xf numFmtId="167" fontId="14" fillId="0" borderId="5" xfId="0" applyNumberFormat="1" applyFont="1" applyBorder="1" applyAlignment="1">
      <alignment vertical="center"/>
    </xf>
  </cellXfs>
  <cellStyles count="1">
    <cellStyle name="Normal" xfId="0" builtinId="0"/>
  </cellStyles>
  <dxfs count="6">
    <dxf>
      <fill>
        <patternFill>
          <bgColor rgb="FFD9C3E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5E0B4"/>
        </patternFill>
      </fill>
    </dxf>
    <dxf>
      <fill>
        <patternFill>
          <bgColor rgb="FFBDD7EE"/>
        </patternFill>
      </fill>
    </dxf>
    <dxf>
      <border diagonalUp="0" diagonalDown="0">
        <left style="medium">
          <color rgb="FFC00000"/>
        </left>
        <right style="medium">
          <color rgb="FFC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0D25-3A0A-4C3E-8A3C-C7176FC28DF3}">
  <dimension ref="A1:R37"/>
  <sheetViews>
    <sheetView zoomScale="90" zoomScaleNormal="90" workbookViewId="0">
      <selection activeCell="B39" sqref="B39"/>
    </sheetView>
  </sheetViews>
  <sheetFormatPr defaultColWidth="7.3046875" defaultRowHeight="16" x14ac:dyDescent="0.4"/>
  <cols>
    <col min="1" max="1" width="5.07421875" customWidth="1"/>
    <col min="2" max="2" width="72.07421875" bestFit="1" customWidth="1"/>
    <col min="3" max="4" width="9.3046875" customWidth="1"/>
    <col min="5" max="18" width="4.3828125" customWidth="1"/>
  </cols>
  <sheetData>
    <row r="1" spans="1:18" ht="18" x14ac:dyDescent="0.4">
      <c r="A1" s="1" t="s">
        <v>72</v>
      </c>
    </row>
    <row r="2" spans="1:18" x14ac:dyDescent="0.4">
      <c r="E2" s="2"/>
    </row>
    <row r="3" spans="1:18" ht="42" customHeight="1" x14ac:dyDescent="0.4">
      <c r="A3" s="3" t="s">
        <v>0</v>
      </c>
      <c r="B3" s="3" t="s">
        <v>1</v>
      </c>
      <c r="C3" s="3" t="s">
        <v>2</v>
      </c>
      <c r="D3" s="3" t="s">
        <v>3</v>
      </c>
      <c r="E3" s="4">
        <v>46321</v>
      </c>
      <c r="F3" s="4">
        <f t="shared" ref="F3:R3" si="0">E3+7</f>
        <v>46328</v>
      </c>
      <c r="G3" s="4">
        <f t="shared" si="0"/>
        <v>46335</v>
      </c>
      <c r="H3" s="4">
        <f t="shared" si="0"/>
        <v>46342</v>
      </c>
      <c r="I3" s="4">
        <f t="shared" si="0"/>
        <v>46349</v>
      </c>
      <c r="J3" s="4">
        <f t="shared" si="0"/>
        <v>46356</v>
      </c>
      <c r="K3" s="4">
        <f t="shared" si="0"/>
        <v>46363</v>
      </c>
      <c r="L3" s="4">
        <f t="shared" si="0"/>
        <v>46370</v>
      </c>
      <c r="M3" s="4">
        <f t="shared" si="0"/>
        <v>46377</v>
      </c>
      <c r="N3" s="4">
        <f t="shared" si="0"/>
        <v>46384</v>
      </c>
      <c r="O3" s="4">
        <f t="shared" si="0"/>
        <v>46391</v>
      </c>
      <c r="P3" s="4">
        <f t="shared" si="0"/>
        <v>46398</v>
      </c>
      <c r="Q3" s="4">
        <f t="shared" si="0"/>
        <v>46405</v>
      </c>
      <c r="R3" s="4">
        <f t="shared" si="0"/>
        <v>46412</v>
      </c>
    </row>
    <row r="4" spans="1:18" x14ac:dyDescent="0.4">
      <c r="A4" s="5" t="s">
        <v>4</v>
      </c>
      <c r="B4" s="6" t="s">
        <v>5</v>
      </c>
      <c r="C4" s="7">
        <v>46321</v>
      </c>
      <c r="D4" s="7">
        <v>46339</v>
      </c>
      <c r="E4" s="8">
        <v>1</v>
      </c>
      <c r="F4" s="8">
        <v>1</v>
      </c>
      <c r="G4" s="8">
        <v>1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8" t="s">
        <v>6</v>
      </c>
      <c r="P4" s="8" t="s">
        <v>6</v>
      </c>
      <c r="Q4" s="8" t="s">
        <v>6</v>
      </c>
      <c r="R4" s="8" t="s">
        <v>6</v>
      </c>
    </row>
    <row r="5" spans="1:18" x14ac:dyDescent="0.4">
      <c r="A5" s="9" t="s">
        <v>7</v>
      </c>
      <c r="B5" s="10" t="s">
        <v>55</v>
      </c>
      <c r="C5" s="11">
        <v>46321</v>
      </c>
      <c r="D5" s="11">
        <v>46321</v>
      </c>
      <c r="E5" s="12">
        <v>1</v>
      </c>
      <c r="F5" s="12" t="s">
        <v>6</v>
      </c>
      <c r="G5" s="12" t="s">
        <v>6</v>
      </c>
      <c r="H5" s="12" t="s">
        <v>6</v>
      </c>
      <c r="I5" s="12" t="s">
        <v>6</v>
      </c>
      <c r="J5" s="12" t="s">
        <v>6</v>
      </c>
      <c r="K5" s="12" t="s">
        <v>6</v>
      </c>
      <c r="L5" s="12" t="s">
        <v>6</v>
      </c>
      <c r="M5" s="12" t="s">
        <v>6</v>
      </c>
      <c r="N5" s="12" t="s">
        <v>6</v>
      </c>
      <c r="O5" s="12" t="s">
        <v>6</v>
      </c>
      <c r="P5" s="12" t="s">
        <v>6</v>
      </c>
      <c r="Q5" s="12" t="s">
        <v>6</v>
      </c>
      <c r="R5" s="12" t="s">
        <v>6</v>
      </c>
    </row>
    <row r="6" spans="1:18" x14ac:dyDescent="0.4">
      <c r="A6" s="9" t="s">
        <v>8</v>
      </c>
      <c r="B6" s="10" t="s">
        <v>65</v>
      </c>
      <c r="C6" s="11">
        <v>46322</v>
      </c>
      <c r="D6" s="11">
        <v>46325</v>
      </c>
      <c r="E6" s="12">
        <v>1</v>
      </c>
      <c r="F6" s="12" t="s">
        <v>6</v>
      </c>
      <c r="G6" s="12" t="s">
        <v>6</v>
      </c>
      <c r="H6" s="12" t="s">
        <v>6</v>
      </c>
      <c r="I6" s="12" t="s">
        <v>6</v>
      </c>
      <c r="J6" s="12" t="s">
        <v>6</v>
      </c>
      <c r="K6" s="12" t="s">
        <v>6</v>
      </c>
      <c r="L6" s="12" t="s">
        <v>6</v>
      </c>
      <c r="M6" s="12" t="s">
        <v>6</v>
      </c>
      <c r="N6" s="12" t="s">
        <v>6</v>
      </c>
      <c r="O6" s="12" t="s">
        <v>6</v>
      </c>
      <c r="P6" s="12" t="s">
        <v>6</v>
      </c>
      <c r="Q6" s="12" t="s">
        <v>6</v>
      </c>
      <c r="R6" s="12" t="s">
        <v>6</v>
      </c>
    </row>
    <row r="7" spans="1:18" x14ac:dyDescent="0.4">
      <c r="A7" s="9" t="s">
        <v>9</v>
      </c>
      <c r="B7" s="10" t="s">
        <v>56</v>
      </c>
      <c r="C7" s="11">
        <v>46324</v>
      </c>
      <c r="D7" s="11">
        <v>46330</v>
      </c>
      <c r="E7" s="12">
        <v>1</v>
      </c>
      <c r="F7" s="12">
        <v>1</v>
      </c>
      <c r="G7" s="12" t="s">
        <v>6</v>
      </c>
      <c r="H7" s="12" t="s">
        <v>6</v>
      </c>
      <c r="I7" s="12" t="s">
        <v>6</v>
      </c>
      <c r="J7" s="12" t="s">
        <v>6</v>
      </c>
      <c r="K7" s="12" t="s">
        <v>6</v>
      </c>
      <c r="L7" s="12" t="s">
        <v>6</v>
      </c>
      <c r="M7" s="12" t="s">
        <v>6</v>
      </c>
      <c r="N7" s="12" t="s">
        <v>6</v>
      </c>
      <c r="O7" s="12" t="s">
        <v>6</v>
      </c>
      <c r="P7" s="12" t="s">
        <v>6</v>
      </c>
      <c r="Q7" s="12" t="s">
        <v>6</v>
      </c>
      <c r="R7" s="12" t="s">
        <v>6</v>
      </c>
    </row>
    <row r="8" spans="1:18" x14ac:dyDescent="0.4">
      <c r="A8" s="9" t="s">
        <v>10</v>
      </c>
      <c r="B8" s="10" t="s">
        <v>57</v>
      </c>
      <c r="C8" s="11">
        <v>46331</v>
      </c>
      <c r="D8" s="11">
        <v>46332</v>
      </c>
      <c r="E8" s="12" t="s">
        <v>6</v>
      </c>
      <c r="F8" s="12">
        <v>1</v>
      </c>
      <c r="G8" s="12" t="s">
        <v>6</v>
      </c>
      <c r="H8" s="12" t="s">
        <v>6</v>
      </c>
      <c r="I8" s="12" t="s">
        <v>6</v>
      </c>
      <c r="J8" s="12" t="s">
        <v>6</v>
      </c>
      <c r="K8" s="12" t="s">
        <v>6</v>
      </c>
      <c r="L8" s="12" t="s">
        <v>6</v>
      </c>
      <c r="M8" s="12" t="s">
        <v>6</v>
      </c>
      <c r="N8" s="12" t="s">
        <v>6</v>
      </c>
      <c r="O8" s="12" t="s">
        <v>6</v>
      </c>
      <c r="P8" s="12" t="s">
        <v>6</v>
      </c>
      <c r="Q8" s="12" t="s">
        <v>6</v>
      </c>
      <c r="R8" s="12" t="s">
        <v>6</v>
      </c>
    </row>
    <row r="9" spans="1:18" x14ac:dyDescent="0.4">
      <c r="A9" s="9" t="s">
        <v>11</v>
      </c>
      <c r="B9" s="10" t="s">
        <v>58</v>
      </c>
      <c r="C9" s="11">
        <v>46331</v>
      </c>
      <c r="D9" s="11">
        <v>46337</v>
      </c>
      <c r="E9" s="12" t="s">
        <v>6</v>
      </c>
      <c r="F9" s="12">
        <v>1</v>
      </c>
      <c r="G9" s="12">
        <v>1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</row>
    <row r="10" spans="1:18" x14ac:dyDescent="0.4">
      <c r="A10" s="9" t="s">
        <v>59</v>
      </c>
      <c r="B10" s="10" t="s">
        <v>60</v>
      </c>
      <c r="C10" s="11">
        <v>46338</v>
      </c>
      <c r="D10" s="11">
        <v>46339</v>
      </c>
      <c r="E10" s="12" t="s">
        <v>6</v>
      </c>
      <c r="F10" s="12" t="s">
        <v>6</v>
      </c>
      <c r="G10" s="12">
        <v>1</v>
      </c>
      <c r="H10" s="12" t="s">
        <v>6</v>
      </c>
      <c r="I10" s="12" t="s">
        <v>6</v>
      </c>
      <c r="J10" s="12" t="s">
        <v>6</v>
      </c>
      <c r="K10" s="12" t="s">
        <v>6</v>
      </c>
      <c r="L10" s="12" t="s">
        <v>6</v>
      </c>
      <c r="M10" s="12" t="s">
        <v>6</v>
      </c>
      <c r="N10" s="12" t="s">
        <v>6</v>
      </c>
      <c r="O10" s="12" t="s">
        <v>6</v>
      </c>
      <c r="P10" s="12" t="s">
        <v>6</v>
      </c>
      <c r="Q10" s="12" t="s">
        <v>6</v>
      </c>
      <c r="R10" s="12" t="s">
        <v>6</v>
      </c>
    </row>
    <row r="11" spans="1:18" x14ac:dyDescent="0.4">
      <c r="A11" s="13" t="s">
        <v>12</v>
      </c>
      <c r="B11" s="14" t="s">
        <v>13</v>
      </c>
      <c r="C11" s="15">
        <v>46328</v>
      </c>
      <c r="D11" s="15">
        <v>46374</v>
      </c>
      <c r="E11" s="16" t="s">
        <v>6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 t="s">
        <v>6</v>
      </c>
      <c r="N11" s="16" t="s">
        <v>6</v>
      </c>
      <c r="O11" s="16" t="s">
        <v>6</v>
      </c>
      <c r="P11" s="16" t="s">
        <v>6</v>
      </c>
      <c r="Q11" s="16" t="s">
        <v>6</v>
      </c>
      <c r="R11" s="16" t="s">
        <v>6</v>
      </c>
    </row>
    <row r="12" spans="1:18" x14ac:dyDescent="0.4">
      <c r="A12" s="9" t="s">
        <v>14</v>
      </c>
      <c r="B12" s="10" t="s">
        <v>15</v>
      </c>
      <c r="C12" s="11">
        <v>46328</v>
      </c>
      <c r="D12" s="11">
        <v>46339</v>
      </c>
      <c r="E12" s="17" t="s">
        <v>6</v>
      </c>
      <c r="F12" s="17">
        <v>1</v>
      </c>
      <c r="G12" s="17">
        <v>1</v>
      </c>
      <c r="H12" s="17" t="s">
        <v>6</v>
      </c>
      <c r="I12" s="17" t="s">
        <v>6</v>
      </c>
      <c r="J12" s="17" t="s">
        <v>6</v>
      </c>
      <c r="K12" s="17" t="s">
        <v>6</v>
      </c>
      <c r="L12" s="17" t="s">
        <v>6</v>
      </c>
      <c r="M12" s="17" t="s">
        <v>6</v>
      </c>
      <c r="N12" s="17" t="s">
        <v>6</v>
      </c>
      <c r="O12" s="17" t="s">
        <v>6</v>
      </c>
      <c r="P12" s="17" t="s">
        <v>6</v>
      </c>
      <c r="Q12" s="17" t="s">
        <v>6</v>
      </c>
      <c r="R12" s="17" t="s">
        <v>6</v>
      </c>
    </row>
    <row r="13" spans="1:18" x14ac:dyDescent="0.4">
      <c r="A13" s="9" t="s">
        <v>16</v>
      </c>
      <c r="B13" s="10" t="s">
        <v>61</v>
      </c>
      <c r="C13" s="11">
        <v>46335</v>
      </c>
      <c r="D13" s="11">
        <v>46346</v>
      </c>
      <c r="E13" s="17" t="s">
        <v>6</v>
      </c>
      <c r="F13" s="17" t="s">
        <v>6</v>
      </c>
      <c r="G13" s="17">
        <v>1</v>
      </c>
      <c r="H13" s="17">
        <v>1</v>
      </c>
      <c r="I13" s="17" t="s">
        <v>6</v>
      </c>
      <c r="J13" s="17" t="s">
        <v>6</v>
      </c>
      <c r="K13" s="17" t="s">
        <v>6</v>
      </c>
      <c r="L13" s="17" t="s">
        <v>6</v>
      </c>
      <c r="M13" s="17" t="s">
        <v>6</v>
      </c>
      <c r="N13" s="17" t="s">
        <v>6</v>
      </c>
      <c r="O13" s="17" t="s">
        <v>6</v>
      </c>
      <c r="P13" s="17" t="s">
        <v>6</v>
      </c>
      <c r="Q13" s="17" t="s">
        <v>6</v>
      </c>
      <c r="R13" s="17" t="s">
        <v>6</v>
      </c>
    </row>
    <row r="14" spans="1:18" x14ac:dyDescent="0.4">
      <c r="A14" s="9" t="s">
        <v>17</v>
      </c>
      <c r="B14" s="10" t="s">
        <v>62</v>
      </c>
      <c r="C14" s="11">
        <v>46342</v>
      </c>
      <c r="D14" s="11">
        <v>46353</v>
      </c>
      <c r="E14" s="17" t="s">
        <v>6</v>
      </c>
      <c r="F14" s="17" t="s">
        <v>6</v>
      </c>
      <c r="G14" s="17" t="s">
        <v>6</v>
      </c>
      <c r="H14" s="17">
        <v>1</v>
      </c>
      <c r="I14" s="17">
        <v>1</v>
      </c>
      <c r="J14" s="17" t="s">
        <v>6</v>
      </c>
      <c r="K14" s="17" t="s">
        <v>6</v>
      </c>
      <c r="L14" s="17" t="s">
        <v>6</v>
      </c>
      <c r="M14" s="17" t="s">
        <v>6</v>
      </c>
      <c r="N14" s="17" t="s">
        <v>6</v>
      </c>
      <c r="O14" s="17" t="s">
        <v>6</v>
      </c>
      <c r="P14" s="17" t="s">
        <v>6</v>
      </c>
      <c r="Q14" s="17" t="s">
        <v>6</v>
      </c>
      <c r="R14" s="17" t="s">
        <v>6</v>
      </c>
    </row>
    <row r="15" spans="1:18" x14ac:dyDescent="0.4">
      <c r="A15" s="9" t="s">
        <v>18</v>
      </c>
      <c r="B15" s="10" t="s">
        <v>63</v>
      </c>
      <c r="C15" s="11">
        <v>46342</v>
      </c>
      <c r="D15" s="11">
        <v>46358</v>
      </c>
      <c r="E15" s="17" t="s">
        <v>6</v>
      </c>
      <c r="F15" s="17" t="s">
        <v>6</v>
      </c>
      <c r="G15" s="17" t="s">
        <v>6</v>
      </c>
      <c r="H15" s="17">
        <v>1</v>
      </c>
      <c r="I15" s="17">
        <v>1</v>
      </c>
      <c r="J15" s="17">
        <v>1</v>
      </c>
      <c r="K15" s="17" t="s">
        <v>6</v>
      </c>
      <c r="L15" s="17" t="s">
        <v>6</v>
      </c>
      <c r="M15" s="17" t="s">
        <v>6</v>
      </c>
      <c r="N15" s="17" t="s">
        <v>6</v>
      </c>
      <c r="O15" s="17" t="s">
        <v>6</v>
      </c>
      <c r="P15" s="17" t="s">
        <v>6</v>
      </c>
      <c r="Q15" s="17" t="s">
        <v>6</v>
      </c>
      <c r="R15" s="17" t="s">
        <v>6</v>
      </c>
    </row>
    <row r="16" spans="1:18" x14ac:dyDescent="0.4">
      <c r="A16" s="9" t="s">
        <v>19</v>
      </c>
      <c r="B16" s="10" t="s">
        <v>20</v>
      </c>
      <c r="C16" s="11">
        <v>46356</v>
      </c>
      <c r="D16" s="11">
        <v>46360</v>
      </c>
      <c r="E16" s="17" t="s">
        <v>6</v>
      </c>
      <c r="F16" s="17" t="s">
        <v>6</v>
      </c>
      <c r="G16" s="17" t="s">
        <v>6</v>
      </c>
      <c r="H16" s="17" t="s">
        <v>6</v>
      </c>
      <c r="I16" s="17" t="s">
        <v>6</v>
      </c>
      <c r="J16" s="17">
        <v>1</v>
      </c>
      <c r="K16" s="17" t="s">
        <v>6</v>
      </c>
      <c r="L16" s="17" t="s">
        <v>6</v>
      </c>
      <c r="M16" s="17" t="s">
        <v>6</v>
      </c>
      <c r="N16" s="17" t="s">
        <v>6</v>
      </c>
      <c r="O16" s="17" t="s">
        <v>6</v>
      </c>
      <c r="P16" s="17" t="s">
        <v>6</v>
      </c>
      <c r="Q16" s="17" t="s">
        <v>6</v>
      </c>
      <c r="R16" s="17" t="s">
        <v>6</v>
      </c>
    </row>
    <row r="17" spans="1:18" x14ac:dyDescent="0.4">
      <c r="A17" s="9" t="s">
        <v>21</v>
      </c>
      <c r="B17" s="10" t="s">
        <v>22</v>
      </c>
      <c r="C17" s="11">
        <v>46363</v>
      </c>
      <c r="D17" s="11">
        <v>46367</v>
      </c>
      <c r="E17" s="17" t="s">
        <v>6</v>
      </c>
      <c r="F17" s="17" t="s">
        <v>6</v>
      </c>
      <c r="G17" s="17" t="s">
        <v>6</v>
      </c>
      <c r="H17" s="17" t="s">
        <v>6</v>
      </c>
      <c r="I17" s="17" t="s">
        <v>6</v>
      </c>
      <c r="J17" s="17" t="s">
        <v>6</v>
      </c>
      <c r="K17" s="17">
        <v>1</v>
      </c>
      <c r="L17" s="17" t="s">
        <v>6</v>
      </c>
      <c r="M17" s="17" t="s">
        <v>6</v>
      </c>
      <c r="N17" s="17" t="s">
        <v>6</v>
      </c>
      <c r="O17" s="17" t="s">
        <v>6</v>
      </c>
      <c r="P17" s="17" t="s">
        <v>6</v>
      </c>
      <c r="Q17" s="17" t="s">
        <v>6</v>
      </c>
      <c r="R17" s="17" t="s">
        <v>6</v>
      </c>
    </row>
    <row r="18" spans="1:18" x14ac:dyDescent="0.4">
      <c r="A18" s="9" t="s">
        <v>23</v>
      </c>
      <c r="B18" s="10" t="s">
        <v>24</v>
      </c>
      <c r="C18" s="11">
        <v>46363</v>
      </c>
      <c r="D18" s="11">
        <v>46367</v>
      </c>
      <c r="E18" s="17" t="s">
        <v>6</v>
      </c>
      <c r="F18" s="17" t="s">
        <v>6</v>
      </c>
      <c r="G18" s="17" t="s">
        <v>6</v>
      </c>
      <c r="H18" s="17" t="s">
        <v>6</v>
      </c>
      <c r="I18" s="17" t="s">
        <v>6</v>
      </c>
      <c r="J18" s="17" t="s">
        <v>6</v>
      </c>
      <c r="K18" s="17">
        <v>1</v>
      </c>
      <c r="L18" s="17" t="s">
        <v>6</v>
      </c>
      <c r="M18" s="17" t="s">
        <v>6</v>
      </c>
      <c r="N18" s="17" t="s">
        <v>6</v>
      </c>
      <c r="O18" s="17" t="s">
        <v>6</v>
      </c>
      <c r="P18" s="17" t="s">
        <v>6</v>
      </c>
      <c r="Q18" s="17" t="s">
        <v>6</v>
      </c>
      <c r="R18" s="17" t="s">
        <v>6</v>
      </c>
    </row>
    <row r="19" spans="1:18" x14ac:dyDescent="0.4">
      <c r="A19" s="9" t="s">
        <v>25</v>
      </c>
      <c r="B19" s="10" t="s">
        <v>26</v>
      </c>
      <c r="C19" s="11">
        <v>46363</v>
      </c>
      <c r="D19" s="11">
        <v>46367</v>
      </c>
      <c r="E19" s="17" t="s">
        <v>6</v>
      </c>
      <c r="F19" s="17" t="s">
        <v>6</v>
      </c>
      <c r="G19" s="17" t="s">
        <v>6</v>
      </c>
      <c r="H19" s="17" t="s">
        <v>6</v>
      </c>
      <c r="I19" s="17" t="s">
        <v>6</v>
      </c>
      <c r="J19" s="17" t="s">
        <v>6</v>
      </c>
      <c r="K19" s="17">
        <v>1</v>
      </c>
      <c r="L19" s="17" t="s">
        <v>6</v>
      </c>
      <c r="M19" s="17" t="s">
        <v>6</v>
      </c>
      <c r="N19" s="17" t="s">
        <v>6</v>
      </c>
      <c r="O19" s="17" t="s">
        <v>6</v>
      </c>
      <c r="P19" s="17" t="s">
        <v>6</v>
      </c>
      <c r="Q19" s="17" t="s">
        <v>6</v>
      </c>
      <c r="R19" s="17" t="s">
        <v>6</v>
      </c>
    </row>
    <row r="20" spans="1:18" x14ac:dyDescent="0.4">
      <c r="A20" s="9" t="s">
        <v>27</v>
      </c>
      <c r="B20" s="10" t="s">
        <v>28</v>
      </c>
      <c r="C20" s="11">
        <v>46356</v>
      </c>
      <c r="D20" s="11">
        <v>46374</v>
      </c>
      <c r="E20" s="17" t="s">
        <v>6</v>
      </c>
      <c r="F20" s="17" t="s">
        <v>6</v>
      </c>
      <c r="G20" s="17" t="s">
        <v>6</v>
      </c>
      <c r="H20" s="17" t="s">
        <v>6</v>
      </c>
      <c r="I20" s="17" t="s">
        <v>6</v>
      </c>
      <c r="J20" s="17">
        <v>1</v>
      </c>
      <c r="K20" s="17">
        <v>1</v>
      </c>
      <c r="L20" s="17">
        <v>1</v>
      </c>
      <c r="M20" s="17" t="s">
        <v>6</v>
      </c>
      <c r="N20" s="17" t="s">
        <v>6</v>
      </c>
      <c r="O20" s="17" t="s">
        <v>6</v>
      </c>
      <c r="P20" s="17" t="s">
        <v>6</v>
      </c>
      <c r="Q20" s="17" t="s">
        <v>6</v>
      </c>
      <c r="R20" s="17" t="s">
        <v>6</v>
      </c>
    </row>
    <row r="21" spans="1:18" x14ac:dyDescent="0.4">
      <c r="A21" s="18" t="s">
        <v>29</v>
      </c>
      <c r="B21" s="19" t="s">
        <v>30</v>
      </c>
      <c r="C21" s="20">
        <v>46370</v>
      </c>
      <c r="D21" s="20">
        <v>46374</v>
      </c>
      <c r="E21" s="21" t="s">
        <v>6</v>
      </c>
      <c r="F21" s="21" t="s">
        <v>6</v>
      </c>
      <c r="G21" s="21" t="s">
        <v>6</v>
      </c>
      <c r="H21" s="21" t="s">
        <v>6</v>
      </c>
      <c r="I21" s="21" t="s">
        <v>6</v>
      </c>
      <c r="J21" s="21" t="s">
        <v>6</v>
      </c>
      <c r="K21" s="21" t="s">
        <v>6</v>
      </c>
      <c r="L21" s="21">
        <v>1</v>
      </c>
      <c r="M21" s="21" t="s">
        <v>6</v>
      </c>
      <c r="N21" s="21" t="s">
        <v>6</v>
      </c>
      <c r="O21" s="21" t="s">
        <v>6</v>
      </c>
      <c r="P21" s="21" t="s">
        <v>6</v>
      </c>
      <c r="Q21" s="21" t="s">
        <v>6</v>
      </c>
      <c r="R21" s="21" t="s">
        <v>6</v>
      </c>
    </row>
    <row r="22" spans="1:18" x14ac:dyDescent="0.4">
      <c r="A22" s="9" t="s">
        <v>31</v>
      </c>
      <c r="B22" s="10" t="s">
        <v>32</v>
      </c>
      <c r="C22" s="11">
        <v>46370</v>
      </c>
      <c r="D22" s="11">
        <v>46372</v>
      </c>
      <c r="E22" s="22" t="s">
        <v>6</v>
      </c>
      <c r="F22" s="22" t="s">
        <v>6</v>
      </c>
      <c r="G22" s="22" t="s">
        <v>6</v>
      </c>
      <c r="H22" s="22" t="s">
        <v>6</v>
      </c>
      <c r="I22" s="22" t="s">
        <v>6</v>
      </c>
      <c r="J22" s="22" t="s">
        <v>6</v>
      </c>
      <c r="K22" s="22" t="s">
        <v>6</v>
      </c>
      <c r="L22" s="22">
        <v>1</v>
      </c>
      <c r="M22" s="22" t="s">
        <v>6</v>
      </c>
      <c r="N22" s="22" t="s">
        <v>6</v>
      </c>
      <c r="O22" s="22" t="s">
        <v>6</v>
      </c>
      <c r="P22" s="22" t="s">
        <v>6</v>
      </c>
      <c r="Q22" s="22" t="s">
        <v>6</v>
      </c>
      <c r="R22" s="22" t="s">
        <v>6</v>
      </c>
    </row>
    <row r="23" spans="1:18" x14ac:dyDescent="0.4">
      <c r="A23" s="9" t="s">
        <v>33</v>
      </c>
      <c r="B23" s="10" t="s">
        <v>66</v>
      </c>
      <c r="C23" s="11">
        <v>46372</v>
      </c>
      <c r="D23" s="11">
        <v>46373</v>
      </c>
      <c r="E23" s="22" t="s">
        <v>6</v>
      </c>
      <c r="F23" s="22" t="s">
        <v>6</v>
      </c>
      <c r="G23" s="22" t="s">
        <v>6</v>
      </c>
      <c r="H23" s="22" t="s">
        <v>6</v>
      </c>
      <c r="I23" s="22" t="s">
        <v>6</v>
      </c>
      <c r="J23" s="22" t="s">
        <v>6</v>
      </c>
      <c r="K23" s="22" t="s">
        <v>6</v>
      </c>
      <c r="L23" s="22">
        <v>1</v>
      </c>
      <c r="M23" s="22" t="s">
        <v>6</v>
      </c>
      <c r="N23" s="22" t="s">
        <v>6</v>
      </c>
      <c r="O23" s="22" t="s">
        <v>6</v>
      </c>
      <c r="P23" s="22" t="s">
        <v>6</v>
      </c>
      <c r="Q23" s="22" t="s">
        <v>6</v>
      </c>
      <c r="R23" s="22" t="s">
        <v>6</v>
      </c>
    </row>
    <row r="24" spans="1:18" x14ac:dyDescent="0.4">
      <c r="A24" s="9" t="s">
        <v>34</v>
      </c>
      <c r="B24" s="10" t="s">
        <v>35</v>
      </c>
      <c r="C24" s="11">
        <v>46374</v>
      </c>
      <c r="D24" s="11">
        <v>46374</v>
      </c>
      <c r="E24" s="22" t="s">
        <v>6</v>
      </c>
      <c r="F24" s="22" t="s">
        <v>6</v>
      </c>
      <c r="G24" s="22" t="s">
        <v>6</v>
      </c>
      <c r="H24" s="22" t="s">
        <v>6</v>
      </c>
      <c r="I24" s="22" t="s">
        <v>6</v>
      </c>
      <c r="J24" s="22" t="s">
        <v>6</v>
      </c>
      <c r="K24" s="22" t="s">
        <v>6</v>
      </c>
      <c r="L24" s="22">
        <v>1</v>
      </c>
      <c r="M24" s="22" t="s">
        <v>6</v>
      </c>
      <c r="N24" s="22" t="s">
        <v>6</v>
      </c>
      <c r="O24" s="22" t="s">
        <v>6</v>
      </c>
      <c r="P24" s="22" t="s">
        <v>6</v>
      </c>
      <c r="Q24" s="22" t="s">
        <v>6</v>
      </c>
      <c r="R24" s="22" t="s">
        <v>6</v>
      </c>
    </row>
    <row r="25" spans="1:18" x14ac:dyDescent="0.4">
      <c r="A25" s="23" t="s">
        <v>36</v>
      </c>
      <c r="B25" s="24" t="s">
        <v>37</v>
      </c>
      <c r="C25" s="25">
        <v>46370</v>
      </c>
      <c r="D25" s="25">
        <v>46381</v>
      </c>
      <c r="E25" s="26" t="s">
        <v>6</v>
      </c>
      <c r="F25" s="26" t="s">
        <v>6</v>
      </c>
      <c r="G25" s="26" t="s">
        <v>6</v>
      </c>
      <c r="H25" s="26" t="s">
        <v>6</v>
      </c>
      <c r="I25" s="26" t="s">
        <v>6</v>
      </c>
      <c r="J25" s="26" t="s">
        <v>6</v>
      </c>
      <c r="K25" s="26" t="s">
        <v>6</v>
      </c>
      <c r="L25" s="26">
        <v>1</v>
      </c>
      <c r="M25" s="26">
        <v>1</v>
      </c>
      <c r="N25" s="26" t="s">
        <v>6</v>
      </c>
      <c r="O25" s="26" t="s">
        <v>6</v>
      </c>
      <c r="P25" s="26" t="s">
        <v>6</v>
      </c>
      <c r="Q25" s="26" t="s">
        <v>6</v>
      </c>
      <c r="R25" s="26" t="s">
        <v>6</v>
      </c>
    </row>
    <row r="26" spans="1:18" x14ac:dyDescent="0.4">
      <c r="A26" s="9" t="s">
        <v>38</v>
      </c>
      <c r="B26" s="10" t="s">
        <v>67</v>
      </c>
      <c r="C26" s="11">
        <v>46370</v>
      </c>
      <c r="D26" s="11">
        <v>46374</v>
      </c>
      <c r="E26" s="27" t="s">
        <v>6</v>
      </c>
      <c r="F26" s="27" t="s">
        <v>6</v>
      </c>
      <c r="G26" s="27" t="s">
        <v>6</v>
      </c>
      <c r="H26" s="27" t="s">
        <v>6</v>
      </c>
      <c r="I26" s="27" t="s">
        <v>6</v>
      </c>
      <c r="J26" s="27" t="s">
        <v>6</v>
      </c>
      <c r="K26" s="27" t="s">
        <v>6</v>
      </c>
      <c r="L26" s="27">
        <v>1</v>
      </c>
      <c r="M26" s="27" t="s">
        <v>6</v>
      </c>
      <c r="N26" s="27" t="s">
        <v>6</v>
      </c>
      <c r="O26" s="27" t="s">
        <v>6</v>
      </c>
      <c r="P26" s="27" t="s">
        <v>6</v>
      </c>
      <c r="Q26" s="27" t="s">
        <v>6</v>
      </c>
      <c r="R26" s="27" t="s">
        <v>6</v>
      </c>
    </row>
    <row r="27" spans="1:18" x14ac:dyDescent="0.4">
      <c r="A27" s="9" t="s">
        <v>39</v>
      </c>
      <c r="B27" s="10" t="s">
        <v>40</v>
      </c>
      <c r="C27" s="11">
        <v>46377</v>
      </c>
      <c r="D27" s="11">
        <v>46377</v>
      </c>
      <c r="E27" s="27" t="s">
        <v>6</v>
      </c>
      <c r="F27" s="27" t="s">
        <v>6</v>
      </c>
      <c r="G27" s="27" t="s">
        <v>6</v>
      </c>
      <c r="H27" s="27" t="s">
        <v>6</v>
      </c>
      <c r="I27" s="27" t="s">
        <v>6</v>
      </c>
      <c r="J27" s="27" t="s">
        <v>6</v>
      </c>
      <c r="K27" s="27" t="s">
        <v>6</v>
      </c>
      <c r="L27" s="27" t="s">
        <v>6</v>
      </c>
      <c r="M27" s="27">
        <v>1</v>
      </c>
      <c r="N27" s="27" t="s">
        <v>6</v>
      </c>
      <c r="O27" s="27" t="s">
        <v>6</v>
      </c>
      <c r="P27" s="27" t="s">
        <v>6</v>
      </c>
      <c r="Q27" s="27" t="s">
        <v>6</v>
      </c>
      <c r="R27" s="27" t="s">
        <v>6</v>
      </c>
    </row>
    <row r="28" spans="1:18" x14ac:dyDescent="0.4">
      <c r="A28" s="9" t="s">
        <v>41</v>
      </c>
      <c r="B28" s="10" t="s">
        <v>42</v>
      </c>
      <c r="C28" s="11">
        <v>46377</v>
      </c>
      <c r="D28" s="11">
        <v>46377</v>
      </c>
      <c r="E28" s="27" t="s">
        <v>6</v>
      </c>
      <c r="F28" s="27" t="s">
        <v>6</v>
      </c>
      <c r="G28" s="27" t="s">
        <v>6</v>
      </c>
      <c r="H28" s="27" t="s">
        <v>6</v>
      </c>
      <c r="I28" s="27" t="s">
        <v>6</v>
      </c>
      <c r="J28" s="27" t="s">
        <v>6</v>
      </c>
      <c r="K28" s="27" t="s">
        <v>6</v>
      </c>
      <c r="L28" s="27" t="s">
        <v>6</v>
      </c>
      <c r="M28" s="27">
        <v>1</v>
      </c>
      <c r="N28" s="27" t="s">
        <v>6</v>
      </c>
      <c r="O28" s="27" t="s">
        <v>6</v>
      </c>
      <c r="P28" s="27" t="s">
        <v>6</v>
      </c>
      <c r="Q28" s="27" t="s">
        <v>6</v>
      </c>
      <c r="R28" s="27" t="s">
        <v>6</v>
      </c>
    </row>
    <row r="29" spans="1:18" x14ac:dyDescent="0.4">
      <c r="A29" s="9" t="s">
        <v>43</v>
      </c>
      <c r="B29" s="10" t="s">
        <v>68</v>
      </c>
      <c r="C29" s="11">
        <v>46377</v>
      </c>
      <c r="D29" s="11">
        <v>46379</v>
      </c>
      <c r="E29" s="27" t="s">
        <v>6</v>
      </c>
      <c r="F29" s="27" t="s">
        <v>6</v>
      </c>
      <c r="G29" s="27" t="s">
        <v>6</v>
      </c>
      <c r="H29" s="27" t="s">
        <v>6</v>
      </c>
      <c r="I29" s="27" t="s">
        <v>6</v>
      </c>
      <c r="J29" s="27" t="s">
        <v>6</v>
      </c>
      <c r="K29" s="27" t="s">
        <v>6</v>
      </c>
      <c r="L29" s="27" t="s">
        <v>6</v>
      </c>
      <c r="M29" s="27">
        <v>1</v>
      </c>
      <c r="N29" s="27" t="s">
        <v>6</v>
      </c>
      <c r="O29" s="27" t="s">
        <v>6</v>
      </c>
      <c r="P29" s="27" t="s">
        <v>6</v>
      </c>
      <c r="Q29" s="27" t="s">
        <v>6</v>
      </c>
      <c r="R29" s="27" t="s">
        <v>6</v>
      </c>
    </row>
    <row r="30" spans="1:18" x14ac:dyDescent="0.4">
      <c r="A30" s="9" t="s">
        <v>44</v>
      </c>
      <c r="B30" s="10" t="s">
        <v>69</v>
      </c>
      <c r="C30" s="11">
        <v>46379</v>
      </c>
      <c r="D30" s="11">
        <v>46380</v>
      </c>
      <c r="E30" s="27" t="s">
        <v>6</v>
      </c>
      <c r="F30" s="27" t="s">
        <v>6</v>
      </c>
      <c r="G30" s="27" t="s">
        <v>6</v>
      </c>
      <c r="H30" s="27" t="s">
        <v>6</v>
      </c>
      <c r="I30" s="27" t="s">
        <v>6</v>
      </c>
      <c r="J30" s="27" t="s">
        <v>6</v>
      </c>
      <c r="K30" s="27" t="s">
        <v>6</v>
      </c>
      <c r="L30" s="27" t="s">
        <v>6</v>
      </c>
      <c r="M30" s="27">
        <v>1</v>
      </c>
      <c r="N30" s="27" t="s">
        <v>6</v>
      </c>
      <c r="O30" s="27" t="s">
        <v>6</v>
      </c>
      <c r="P30" s="27" t="s">
        <v>6</v>
      </c>
      <c r="Q30" s="27" t="s">
        <v>6</v>
      </c>
      <c r="R30" s="27" t="s">
        <v>6</v>
      </c>
    </row>
    <row r="31" spans="1:18" x14ac:dyDescent="0.4">
      <c r="A31" s="9" t="s">
        <v>45</v>
      </c>
      <c r="B31" s="10" t="s">
        <v>70</v>
      </c>
      <c r="C31" s="11">
        <v>46381</v>
      </c>
      <c r="D31" s="11">
        <v>46381</v>
      </c>
      <c r="E31" s="27" t="s">
        <v>6</v>
      </c>
      <c r="F31" s="27" t="s">
        <v>6</v>
      </c>
      <c r="G31" s="27" t="s">
        <v>6</v>
      </c>
      <c r="H31" s="27" t="s">
        <v>6</v>
      </c>
      <c r="I31" s="27" t="s">
        <v>6</v>
      </c>
      <c r="J31" s="27" t="s">
        <v>6</v>
      </c>
      <c r="K31" s="27" t="s">
        <v>6</v>
      </c>
      <c r="L31" s="27" t="s">
        <v>6</v>
      </c>
      <c r="M31" s="27">
        <v>1</v>
      </c>
      <c r="N31" s="27" t="s">
        <v>6</v>
      </c>
      <c r="O31" s="27" t="s">
        <v>6</v>
      </c>
      <c r="P31" s="27" t="s">
        <v>6</v>
      </c>
      <c r="Q31" s="27" t="s">
        <v>6</v>
      </c>
      <c r="R31" s="27" t="s">
        <v>6</v>
      </c>
    </row>
    <row r="32" spans="1:18" x14ac:dyDescent="0.4">
      <c r="A32" s="28" t="s">
        <v>46</v>
      </c>
      <c r="B32" s="29" t="s">
        <v>47</v>
      </c>
      <c r="C32" s="30">
        <v>46382</v>
      </c>
      <c r="D32" s="30">
        <v>46412</v>
      </c>
      <c r="E32" s="31" t="s">
        <v>6</v>
      </c>
      <c r="F32" s="31" t="s">
        <v>6</v>
      </c>
      <c r="G32" s="31" t="s">
        <v>6</v>
      </c>
      <c r="H32" s="31" t="s">
        <v>6</v>
      </c>
      <c r="I32" s="31" t="s">
        <v>6</v>
      </c>
      <c r="J32" s="31" t="s">
        <v>6</v>
      </c>
      <c r="K32" s="31" t="s">
        <v>6</v>
      </c>
      <c r="L32" s="31" t="s">
        <v>6</v>
      </c>
      <c r="M32" s="31">
        <v>1</v>
      </c>
      <c r="N32" s="31">
        <v>1</v>
      </c>
      <c r="O32" s="31">
        <v>1</v>
      </c>
      <c r="P32" s="31">
        <v>1</v>
      </c>
      <c r="Q32" s="31">
        <v>1</v>
      </c>
      <c r="R32" s="31">
        <v>1</v>
      </c>
    </row>
    <row r="33" spans="1:18" x14ac:dyDescent="0.4">
      <c r="A33" s="9" t="s">
        <v>48</v>
      </c>
      <c r="B33" s="10" t="s">
        <v>49</v>
      </c>
      <c r="C33" s="11">
        <v>46382</v>
      </c>
      <c r="D33" s="11">
        <v>46395</v>
      </c>
      <c r="E33" s="32" t="s">
        <v>6</v>
      </c>
      <c r="F33" s="32" t="s">
        <v>6</v>
      </c>
      <c r="G33" s="32" t="s">
        <v>6</v>
      </c>
      <c r="H33" s="32" t="s">
        <v>6</v>
      </c>
      <c r="I33" s="32" t="s">
        <v>6</v>
      </c>
      <c r="J33" s="32" t="s">
        <v>6</v>
      </c>
      <c r="K33" s="32" t="s">
        <v>6</v>
      </c>
      <c r="L33" s="32" t="s">
        <v>6</v>
      </c>
      <c r="M33" s="32">
        <v>1</v>
      </c>
      <c r="N33" s="32">
        <v>1</v>
      </c>
      <c r="O33" s="32">
        <v>1</v>
      </c>
      <c r="P33" s="32" t="s">
        <v>6</v>
      </c>
      <c r="Q33" s="32" t="s">
        <v>6</v>
      </c>
      <c r="R33" s="32" t="s">
        <v>6</v>
      </c>
    </row>
    <row r="34" spans="1:18" x14ac:dyDescent="0.4">
      <c r="A34" s="9" t="s">
        <v>50</v>
      </c>
      <c r="B34" s="10" t="s">
        <v>51</v>
      </c>
      <c r="C34" s="11">
        <v>46391</v>
      </c>
      <c r="D34" s="11">
        <v>46402</v>
      </c>
      <c r="E34" s="32" t="s">
        <v>6</v>
      </c>
      <c r="F34" s="32" t="s">
        <v>6</v>
      </c>
      <c r="G34" s="32" t="s">
        <v>6</v>
      </c>
      <c r="H34" s="32" t="s">
        <v>6</v>
      </c>
      <c r="I34" s="32" t="s">
        <v>6</v>
      </c>
      <c r="J34" s="32" t="s">
        <v>6</v>
      </c>
      <c r="K34" s="32" t="s">
        <v>6</v>
      </c>
      <c r="L34" s="32" t="s">
        <v>6</v>
      </c>
      <c r="M34" s="32" t="s">
        <v>6</v>
      </c>
      <c r="N34" s="32" t="s">
        <v>6</v>
      </c>
      <c r="O34" s="32">
        <v>1</v>
      </c>
      <c r="P34" s="32">
        <v>1</v>
      </c>
      <c r="Q34" s="32" t="s">
        <v>6</v>
      </c>
      <c r="R34" s="32" t="s">
        <v>6</v>
      </c>
    </row>
    <row r="35" spans="1:18" x14ac:dyDescent="0.4">
      <c r="A35" s="9" t="s">
        <v>52</v>
      </c>
      <c r="B35" s="10" t="s">
        <v>53</v>
      </c>
      <c r="C35" s="11">
        <v>46396</v>
      </c>
      <c r="D35" s="11">
        <v>46412</v>
      </c>
      <c r="E35" s="32" t="s">
        <v>6</v>
      </c>
      <c r="F35" s="32" t="s">
        <v>6</v>
      </c>
      <c r="G35" s="32" t="s">
        <v>6</v>
      </c>
      <c r="H35" s="32" t="s">
        <v>6</v>
      </c>
      <c r="I35" s="32" t="s">
        <v>6</v>
      </c>
      <c r="J35" s="32" t="s">
        <v>6</v>
      </c>
      <c r="K35" s="32" t="s">
        <v>6</v>
      </c>
      <c r="L35" s="32" t="s">
        <v>6</v>
      </c>
      <c r="M35" s="32" t="s">
        <v>6</v>
      </c>
      <c r="N35" s="32" t="s">
        <v>6</v>
      </c>
      <c r="O35" s="32">
        <v>1</v>
      </c>
      <c r="P35" s="32">
        <v>1</v>
      </c>
      <c r="Q35" s="32">
        <v>1</v>
      </c>
      <c r="R35" s="32">
        <v>1</v>
      </c>
    </row>
    <row r="36" spans="1:18" x14ac:dyDescent="0.4">
      <c r="A36" s="9" t="s">
        <v>54</v>
      </c>
      <c r="B36" s="10" t="s">
        <v>71</v>
      </c>
      <c r="C36" s="11">
        <v>46408</v>
      </c>
      <c r="D36" s="11">
        <v>46412</v>
      </c>
      <c r="E36" s="32" t="s">
        <v>6</v>
      </c>
      <c r="F36" s="32" t="s">
        <v>6</v>
      </c>
      <c r="G36" s="32" t="s">
        <v>6</v>
      </c>
      <c r="H36" s="32" t="s">
        <v>6</v>
      </c>
      <c r="I36" s="32" t="s">
        <v>6</v>
      </c>
      <c r="J36" s="32" t="s">
        <v>6</v>
      </c>
      <c r="K36" s="32" t="s">
        <v>6</v>
      </c>
      <c r="L36" s="32" t="s">
        <v>6</v>
      </c>
      <c r="M36" s="32" t="s">
        <v>6</v>
      </c>
      <c r="N36" s="32" t="s">
        <v>6</v>
      </c>
      <c r="O36" s="32" t="s">
        <v>6</v>
      </c>
      <c r="P36" s="32" t="s">
        <v>6</v>
      </c>
      <c r="Q36" s="32">
        <v>1</v>
      </c>
      <c r="R36" s="32">
        <v>1</v>
      </c>
    </row>
    <row r="37" spans="1:18" x14ac:dyDescent="0.4">
      <c r="B37" s="33" t="s">
        <v>64</v>
      </c>
    </row>
  </sheetData>
  <conditionalFormatting sqref="E3:R36">
    <cfRule type="expression" dxfId="5" priority="7">
      <formula>AND(TODAY()&gt;=E$3,TODAY()&lt;=E$3+6)</formula>
    </cfRule>
  </conditionalFormatting>
  <conditionalFormatting sqref="E5:R10">
    <cfRule type="cellIs" dxfId="4" priority="1" operator="equal">
      <formula>1</formula>
    </cfRule>
  </conditionalFormatting>
  <conditionalFormatting sqref="E12:R20">
    <cfRule type="cellIs" dxfId="3" priority="2" operator="equal">
      <formula>1</formula>
    </cfRule>
  </conditionalFormatting>
  <conditionalFormatting sqref="E22:R24">
    <cfRule type="cellIs" dxfId="2" priority="3" operator="equal">
      <formula>1</formula>
    </cfRule>
  </conditionalFormatting>
  <conditionalFormatting sqref="E26:R31">
    <cfRule type="cellIs" dxfId="1" priority="4" operator="equal">
      <formula>1</formula>
    </cfRule>
  </conditionalFormatting>
  <conditionalFormatting sqref="E33:R36">
    <cfRule type="cellIs" dxfId="0" priority="5" operator="equal">
      <formula>1</formula>
    </cfRule>
  </conditionalFormatting>
  <pageMargins left="0.7" right="0.7" top="0.75" bottom="0.75" header="0.3" footer="0.3"/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B48A-6D8D-4617-A00D-1D5EAB708442}">
  <dimension ref="A1:C12"/>
  <sheetViews>
    <sheetView workbookViewId="0">
      <selection activeCell="C14" sqref="C14"/>
    </sheetView>
  </sheetViews>
  <sheetFormatPr defaultRowHeight="16" x14ac:dyDescent="0.4"/>
  <cols>
    <col min="1" max="1" width="14.3046875" bestFit="1" customWidth="1"/>
    <col min="2" max="2" width="8" bestFit="1" customWidth="1"/>
    <col min="3" max="3" width="44.765625" bestFit="1" customWidth="1"/>
  </cols>
  <sheetData>
    <row r="1" spans="1:3" x14ac:dyDescent="0.4">
      <c r="A1" s="40" t="s">
        <v>98</v>
      </c>
    </row>
    <row r="2" spans="1:3" ht="16.5" thickBot="1" x14ac:dyDescent="0.45"/>
    <row r="3" spans="1:3" ht="16.5" thickBot="1" x14ac:dyDescent="0.45">
      <c r="A3" s="34" t="s">
        <v>73</v>
      </c>
      <c r="B3" s="35" t="s">
        <v>74</v>
      </c>
      <c r="C3" s="35" t="s">
        <v>75</v>
      </c>
    </row>
    <row r="4" spans="1:3" ht="16.5" thickBot="1" x14ac:dyDescent="0.45">
      <c r="A4" s="36" t="s">
        <v>76</v>
      </c>
      <c r="B4" s="37" t="s">
        <v>77</v>
      </c>
      <c r="C4" s="37" t="s">
        <v>92</v>
      </c>
    </row>
    <row r="5" spans="1:3" ht="16.5" thickBot="1" x14ac:dyDescent="0.45">
      <c r="A5" s="38" t="s">
        <v>78</v>
      </c>
      <c r="B5" s="39" t="s">
        <v>77</v>
      </c>
      <c r="C5" s="39" t="s">
        <v>93</v>
      </c>
    </row>
    <row r="6" spans="1:3" ht="16.5" thickBot="1" x14ac:dyDescent="0.45">
      <c r="A6" s="36" t="s">
        <v>79</v>
      </c>
      <c r="B6" s="37" t="s">
        <v>77</v>
      </c>
      <c r="C6" s="37" t="s">
        <v>80</v>
      </c>
    </row>
    <row r="7" spans="1:3" ht="16.5" thickBot="1" x14ac:dyDescent="0.45">
      <c r="A7" s="38" t="s">
        <v>81</v>
      </c>
      <c r="B7" s="39" t="s">
        <v>82</v>
      </c>
      <c r="C7" s="39" t="s">
        <v>94</v>
      </c>
    </row>
    <row r="8" spans="1:3" ht="16.5" thickBot="1" x14ac:dyDescent="0.45">
      <c r="A8" s="36" t="s">
        <v>83</v>
      </c>
      <c r="B8" s="37" t="s">
        <v>82</v>
      </c>
      <c r="C8" s="37" t="s">
        <v>95</v>
      </c>
    </row>
    <row r="9" spans="1:3" ht="16.5" thickBot="1" x14ac:dyDescent="0.45">
      <c r="A9" s="38" t="s">
        <v>84</v>
      </c>
      <c r="B9" s="39" t="s">
        <v>82</v>
      </c>
      <c r="C9" s="39" t="s">
        <v>96</v>
      </c>
    </row>
    <row r="10" spans="1:3" ht="16.5" thickBot="1" x14ac:dyDescent="0.45">
      <c r="A10" s="36" t="s">
        <v>85</v>
      </c>
      <c r="B10" s="37" t="s">
        <v>82</v>
      </c>
      <c r="C10" s="37" t="s">
        <v>86</v>
      </c>
    </row>
    <row r="11" spans="1:3" ht="16.5" thickBot="1" x14ac:dyDescent="0.45">
      <c r="A11" s="38" t="s">
        <v>87</v>
      </c>
      <c r="B11" s="39" t="s">
        <v>88</v>
      </c>
      <c r="C11" s="39" t="s">
        <v>97</v>
      </c>
    </row>
    <row r="12" spans="1:3" ht="16.5" thickBot="1" x14ac:dyDescent="0.45">
      <c r="A12" s="36" t="s">
        <v>89</v>
      </c>
      <c r="B12" s="37" t="s">
        <v>90</v>
      </c>
      <c r="C12" s="37" t="s">
        <v>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A705-34C6-4AA5-B3EC-FFA011A3B34A}">
  <dimension ref="A1:E17"/>
  <sheetViews>
    <sheetView topLeftCell="A3" workbookViewId="0">
      <selection activeCell="A10" sqref="A10"/>
    </sheetView>
  </sheetViews>
  <sheetFormatPr defaultRowHeight="16" x14ac:dyDescent="0.4"/>
  <cols>
    <col min="1" max="1" width="11.3046875" bestFit="1" customWidth="1"/>
    <col min="2" max="2" width="9.61328125" bestFit="1" customWidth="1"/>
    <col min="3" max="3" width="2.84375" bestFit="1" customWidth="1"/>
    <col min="4" max="4" width="7.69140625" bestFit="1" customWidth="1"/>
    <col min="5" max="5" width="81.3828125" bestFit="1" customWidth="1"/>
  </cols>
  <sheetData>
    <row r="1" spans="1:5" x14ac:dyDescent="0.4">
      <c r="A1" s="45" t="s">
        <v>76</v>
      </c>
    </row>
    <row r="2" spans="1:5" ht="16.5" thickBot="1" x14ac:dyDescent="0.45">
      <c r="A2" s="45"/>
    </row>
    <row r="3" spans="1:5" ht="16.5" thickBot="1" x14ac:dyDescent="0.45">
      <c r="A3" s="41" t="s">
        <v>99</v>
      </c>
      <c r="B3" s="42" t="s">
        <v>100</v>
      </c>
      <c r="C3" s="42" t="s">
        <v>101</v>
      </c>
      <c r="D3" s="42" t="s">
        <v>102</v>
      </c>
      <c r="E3" s="42" t="s">
        <v>103</v>
      </c>
    </row>
    <row r="4" spans="1:5" ht="16.5" thickBot="1" x14ac:dyDescent="0.45">
      <c r="A4" s="43" t="s">
        <v>104</v>
      </c>
      <c r="B4" s="44" t="s">
        <v>105</v>
      </c>
      <c r="C4" s="44" t="s">
        <v>106</v>
      </c>
      <c r="D4" s="46"/>
      <c r="E4" s="44" t="s">
        <v>134</v>
      </c>
    </row>
    <row r="5" spans="1:5" ht="16.5" thickBot="1" x14ac:dyDescent="0.45">
      <c r="A5" s="43" t="s">
        <v>108</v>
      </c>
      <c r="B5" s="44" t="s">
        <v>107</v>
      </c>
      <c r="C5" s="44" t="s">
        <v>106</v>
      </c>
      <c r="D5" s="46"/>
      <c r="E5" s="44" t="s">
        <v>135</v>
      </c>
    </row>
    <row r="6" spans="1:5" ht="16.5" thickBot="1" x14ac:dyDescent="0.45">
      <c r="A6" s="47" t="s">
        <v>109</v>
      </c>
      <c r="B6" s="48" t="s">
        <v>107</v>
      </c>
      <c r="C6" s="48" t="s">
        <v>106</v>
      </c>
      <c r="D6" s="49"/>
      <c r="E6" s="48" t="s">
        <v>136</v>
      </c>
    </row>
    <row r="7" spans="1:5" ht="16.5" thickBot="1" x14ac:dyDescent="0.45">
      <c r="A7" s="43" t="s">
        <v>110</v>
      </c>
      <c r="B7" s="44" t="s">
        <v>107</v>
      </c>
      <c r="C7" s="44" t="s">
        <v>106</v>
      </c>
      <c r="D7" s="46"/>
      <c r="E7" s="44" t="s">
        <v>137</v>
      </c>
    </row>
    <row r="8" spans="1:5" ht="16.5" thickBot="1" x14ac:dyDescent="0.45">
      <c r="A8" s="47" t="s">
        <v>111</v>
      </c>
      <c r="B8" s="48" t="s">
        <v>112</v>
      </c>
      <c r="C8" s="48" t="s">
        <v>106</v>
      </c>
      <c r="D8" s="48">
        <v>3</v>
      </c>
      <c r="E8" s="48" t="s">
        <v>194</v>
      </c>
    </row>
    <row r="9" spans="1:5" ht="23.5" thickBot="1" x14ac:dyDescent="0.45">
      <c r="A9" s="43" t="s">
        <v>133</v>
      </c>
      <c r="B9" s="44" t="s">
        <v>112</v>
      </c>
      <c r="C9" s="44" t="s">
        <v>106</v>
      </c>
      <c r="D9" s="44">
        <v>5</v>
      </c>
      <c r="E9" s="44" t="s">
        <v>195</v>
      </c>
    </row>
    <row r="10" spans="1:5" ht="16.5" thickBot="1" x14ac:dyDescent="0.45">
      <c r="A10" s="47" t="s">
        <v>113</v>
      </c>
      <c r="B10" s="48" t="s">
        <v>114</v>
      </c>
      <c r="C10" s="48" t="s">
        <v>106</v>
      </c>
      <c r="D10" s="49"/>
      <c r="E10" s="48" t="s">
        <v>138</v>
      </c>
    </row>
    <row r="11" spans="1:5" ht="16.5" thickBot="1" x14ac:dyDescent="0.45">
      <c r="A11" s="43" t="s">
        <v>115</v>
      </c>
      <c r="B11" s="44" t="s">
        <v>116</v>
      </c>
      <c r="C11" s="44" t="s">
        <v>106</v>
      </c>
      <c r="D11" s="46"/>
      <c r="E11" s="44" t="s">
        <v>139</v>
      </c>
    </row>
    <row r="12" spans="1:5" ht="16.5" thickBot="1" x14ac:dyDescent="0.45">
      <c r="A12" s="47" t="s">
        <v>117</v>
      </c>
      <c r="B12" s="48" t="s">
        <v>118</v>
      </c>
      <c r="C12" s="48" t="s">
        <v>106</v>
      </c>
      <c r="D12" s="48">
        <v>1</v>
      </c>
      <c r="E12" s="48" t="s">
        <v>141</v>
      </c>
    </row>
    <row r="13" spans="1:5" ht="16.5" thickBot="1" x14ac:dyDescent="0.45">
      <c r="A13" s="43" t="s">
        <v>119</v>
      </c>
      <c r="B13" s="44" t="s">
        <v>120</v>
      </c>
      <c r="C13" s="44" t="s">
        <v>106</v>
      </c>
      <c r="D13" s="46"/>
      <c r="E13" s="44" t="s">
        <v>140</v>
      </c>
    </row>
    <row r="14" spans="1:5" ht="16.5" thickBot="1" x14ac:dyDescent="0.45">
      <c r="A14" s="47" t="s">
        <v>121</v>
      </c>
      <c r="B14" s="48" t="s">
        <v>122</v>
      </c>
      <c r="C14" s="48" t="s">
        <v>106</v>
      </c>
      <c r="D14" s="48"/>
      <c r="E14" s="48" t="s">
        <v>123</v>
      </c>
    </row>
    <row r="15" spans="1:5" ht="16.5" thickBot="1" x14ac:dyDescent="0.45">
      <c r="A15" s="43" t="s">
        <v>124</v>
      </c>
      <c r="B15" s="44" t="s">
        <v>125</v>
      </c>
      <c r="C15" s="44" t="s">
        <v>106</v>
      </c>
      <c r="D15" s="44" t="s">
        <v>126</v>
      </c>
      <c r="E15" s="44" t="s">
        <v>127</v>
      </c>
    </row>
    <row r="16" spans="1:5" ht="16.5" thickBot="1" x14ac:dyDescent="0.45">
      <c r="A16" s="47" t="s">
        <v>128</v>
      </c>
      <c r="B16" s="48" t="s">
        <v>122</v>
      </c>
      <c r="C16" s="48" t="s">
        <v>129</v>
      </c>
      <c r="D16" s="49"/>
      <c r="E16" s="48" t="s">
        <v>130</v>
      </c>
    </row>
    <row r="17" spans="1:5" ht="16.5" thickBot="1" x14ac:dyDescent="0.45">
      <c r="A17" s="43" t="s">
        <v>131</v>
      </c>
      <c r="B17" s="44" t="s">
        <v>125</v>
      </c>
      <c r="C17" s="44" t="s">
        <v>129</v>
      </c>
      <c r="D17" s="46"/>
      <c r="E17" s="44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F718-1EDA-44B7-A259-A8D737FC9C8D}">
  <dimension ref="A1:E16"/>
  <sheetViews>
    <sheetView workbookViewId="0">
      <selection activeCell="D12" sqref="D12"/>
    </sheetView>
  </sheetViews>
  <sheetFormatPr defaultRowHeight="16" x14ac:dyDescent="0.4"/>
  <cols>
    <col min="1" max="1" width="17" bestFit="1" customWidth="1"/>
    <col min="2" max="2" width="9.61328125" bestFit="1" customWidth="1"/>
    <col min="3" max="3" width="2.84375" bestFit="1" customWidth="1"/>
    <col min="4" max="4" width="7.69140625" bestFit="1" customWidth="1"/>
    <col min="5" max="5" width="82.61328125" bestFit="1" customWidth="1"/>
  </cols>
  <sheetData>
    <row r="1" spans="1:5" x14ac:dyDescent="0.4">
      <c r="A1" s="45" t="s">
        <v>78</v>
      </c>
    </row>
    <row r="2" spans="1:5" ht="16.5" thickBot="1" x14ac:dyDescent="0.45"/>
    <row r="3" spans="1:5" ht="16.5" thickBot="1" x14ac:dyDescent="0.45">
      <c r="A3" s="34" t="s">
        <v>99</v>
      </c>
      <c r="B3" s="35" t="s">
        <v>100</v>
      </c>
      <c r="C3" s="35" t="s">
        <v>101</v>
      </c>
      <c r="D3" s="35" t="s">
        <v>102</v>
      </c>
      <c r="E3" s="35" t="s">
        <v>103</v>
      </c>
    </row>
    <row r="4" spans="1:5" ht="16.5" thickBot="1" x14ac:dyDescent="0.45">
      <c r="A4" s="36" t="s">
        <v>104</v>
      </c>
      <c r="B4" s="37" t="s">
        <v>142</v>
      </c>
      <c r="C4" s="37" t="s">
        <v>106</v>
      </c>
      <c r="D4" s="50"/>
      <c r="E4" s="37" t="s">
        <v>143</v>
      </c>
    </row>
    <row r="5" spans="1:5" ht="16.5" thickBot="1" x14ac:dyDescent="0.45">
      <c r="A5" s="38" t="s">
        <v>144</v>
      </c>
      <c r="B5" s="39" t="s">
        <v>120</v>
      </c>
      <c r="C5" s="39" t="s">
        <v>106</v>
      </c>
      <c r="D5" s="39" t="s">
        <v>145</v>
      </c>
      <c r="E5" s="39" t="s">
        <v>164</v>
      </c>
    </row>
    <row r="6" spans="1:5" ht="16.5" thickBot="1" x14ac:dyDescent="0.45">
      <c r="A6" s="36" t="s">
        <v>146</v>
      </c>
      <c r="B6" s="37" t="s">
        <v>147</v>
      </c>
      <c r="C6" s="37" t="s">
        <v>129</v>
      </c>
      <c r="D6" s="50"/>
      <c r="E6" s="37" t="s">
        <v>165</v>
      </c>
    </row>
    <row r="7" spans="1:5" ht="16.5" thickBot="1" x14ac:dyDescent="0.45">
      <c r="A7" s="38" t="s">
        <v>148</v>
      </c>
      <c r="B7" s="39" t="s">
        <v>149</v>
      </c>
      <c r="C7" s="39" t="s">
        <v>129</v>
      </c>
      <c r="D7" s="51"/>
      <c r="E7" s="39" t="s">
        <v>150</v>
      </c>
    </row>
    <row r="8" spans="1:5" ht="16.5" thickBot="1" x14ac:dyDescent="0.45">
      <c r="A8" s="36" t="s">
        <v>151</v>
      </c>
      <c r="B8" s="37" t="s">
        <v>118</v>
      </c>
      <c r="C8" s="37" t="s">
        <v>106</v>
      </c>
      <c r="D8" s="37">
        <v>0</v>
      </c>
      <c r="E8" s="37" t="s">
        <v>166</v>
      </c>
    </row>
    <row r="9" spans="1:5" ht="16.5" thickBot="1" x14ac:dyDescent="0.45">
      <c r="A9" s="38" t="s">
        <v>152</v>
      </c>
      <c r="B9" s="39" t="s">
        <v>149</v>
      </c>
      <c r="C9" s="39" t="s">
        <v>129</v>
      </c>
      <c r="D9" s="51"/>
      <c r="E9" s="39" t="s">
        <v>153</v>
      </c>
    </row>
    <row r="10" spans="1:5" ht="16.5" thickBot="1" x14ac:dyDescent="0.45">
      <c r="A10" s="36" t="s">
        <v>154</v>
      </c>
      <c r="B10" s="37" t="s">
        <v>118</v>
      </c>
      <c r="C10" s="37" t="s">
        <v>106</v>
      </c>
      <c r="D10" s="37">
        <v>0</v>
      </c>
      <c r="E10" s="37" t="s">
        <v>167</v>
      </c>
    </row>
    <row r="11" spans="1:5" ht="16.5" thickBot="1" x14ac:dyDescent="0.45">
      <c r="A11" s="38" t="s">
        <v>155</v>
      </c>
      <c r="B11" s="39" t="s">
        <v>149</v>
      </c>
      <c r="C11" s="39" t="s">
        <v>129</v>
      </c>
      <c r="D11" s="51"/>
      <c r="E11" s="39" t="s">
        <v>156</v>
      </c>
    </row>
    <row r="12" spans="1:5" ht="16.5" thickBot="1" x14ac:dyDescent="0.45">
      <c r="A12" s="36" t="s">
        <v>157</v>
      </c>
      <c r="B12" s="37" t="s">
        <v>118</v>
      </c>
      <c r="C12" s="37" t="s">
        <v>106</v>
      </c>
      <c r="D12" s="37">
        <v>0</v>
      </c>
      <c r="E12" s="37" t="s">
        <v>168</v>
      </c>
    </row>
    <row r="13" spans="1:5" ht="16.5" thickBot="1" x14ac:dyDescent="0.45">
      <c r="A13" s="38" t="s">
        <v>158</v>
      </c>
      <c r="B13" s="39" t="s">
        <v>149</v>
      </c>
      <c r="C13" s="39" t="s">
        <v>129</v>
      </c>
      <c r="D13" s="51"/>
      <c r="E13" s="39" t="s">
        <v>159</v>
      </c>
    </row>
    <row r="14" spans="1:5" ht="16.5" thickBot="1" x14ac:dyDescent="0.45">
      <c r="A14" s="36" t="s">
        <v>160</v>
      </c>
      <c r="B14" s="37" t="s">
        <v>114</v>
      </c>
      <c r="C14" s="37" t="s">
        <v>129</v>
      </c>
      <c r="D14" s="50"/>
      <c r="E14" s="37" t="s">
        <v>161</v>
      </c>
    </row>
    <row r="15" spans="1:5" ht="16.5" thickBot="1" x14ac:dyDescent="0.45">
      <c r="A15" s="38" t="s">
        <v>128</v>
      </c>
      <c r="B15" s="39" t="s">
        <v>122</v>
      </c>
      <c r="C15" s="39" t="s">
        <v>106</v>
      </c>
      <c r="D15" s="39"/>
      <c r="E15" s="39" t="s">
        <v>162</v>
      </c>
    </row>
    <row r="16" spans="1:5" ht="16.5" thickBot="1" x14ac:dyDescent="0.45">
      <c r="A16" s="36" t="s">
        <v>131</v>
      </c>
      <c r="B16" s="37" t="s">
        <v>125</v>
      </c>
      <c r="C16" s="37" t="s">
        <v>106</v>
      </c>
      <c r="D16" s="37" t="s">
        <v>126</v>
      </c>
      <c r="E16" s="37" t="s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8C75-0F59-419D-9695-32E3F96C58C7}">
  <dimension ref="A1:E16"/>
  <sheetViews>
    <sheetView tabSelected="1" workbookViewId="0">
      <selection activeCell="F5" sqref="F5"/>
    </sheetView>
  </sheetViews>
  <sheetFormatPr defaultRowHeight="16" x14ac:dyDescent="0.4"/>
  <cols>
    <col min="1" max="1" width="14.15234375" bestFit="1" customWidth="1"/>
    <col min="2" max="2" width="9.61328125" bestFit="1" customWidth="1"/>
    <col min="3" max="3" width="2.84375" bestFit="1" customWidth="1"/>
    <col min="4" max="4" width="18.53515625" bestFit="1" customWidth="1"/>
    <col min="5" max="5" width="77.61328125" bestFit="1" customWidth="1"/>
  </cols>
  <sheetData>
    <row r="1" spans="1:5" x14ac:dyDescent="0.4">
      <c r="A1" s="45" t="s">
        <v>79</v>
      </c>
    </row>
    <row r="2" spans="1:5" ht="16.5" thickBot="1" x14ac:dyDescent="0.45"/>
    <row r="3" spans="1:5" ht="16.5" thickBot="1" x14ac:dyDescent="0.45">
      <c r="A3" s="34" t="s">
        <v>99</v>
      </c>
      <c r="B3" s="35" t="s">
        <v>100</v>
      </c>
      <c r="C3" s="35" t="s">
        <v>101</v>
      </c>
      <c r="D3" s="35" t="s">
        <v>102</v>
      </c>
      <c r="E3" s="35" t="s">
        <v>103</v>
      </c>
    </row>
    <row r="4" spans="1:5" ht="16.5" thickBot="1" x14ac:dyDescent="0.45">
      <c r="A4" s="36" t="s">
        <v>169</v>
      </c>
      <c r="B4" s="37" t="s">
        <v>170</v>
      </c>
      <c r="C4" s="37" t="s">
        <v>106</v>
      </c>
      <c r="D4" s="50"/>
      <c r="E4" s="37" t="s">
        <v>187</v>
      </c>
    </row>
    <row r="5" spans="1:5" ht="16.5" thickBot="1" x14ac:dyDescent="0.45">
      <c r="A5" s="38" t="s">
        <v>171</v>
      </c>
      <c r="B5" s="39" t="s">
        <v>142</v>
      </c>
      <c r="C5" s="39" t="s">
        <v>106</v>
      </c>
      <c r="D5" s="39">
        <v>10000</v>
      </c>
      <c r="E5" s="39" t="s">
        <v>190</v>
      </c>
    </row>
    <row r="6" spans="1:5" ht="16.5" thickBot="1" x14ac:dyDescent="0.45">
      <c r="A6" s="36" t="s">
        <v>172</v>
      </c>
      <c r="B6" s="37" t="s">
        <v>142</v>
      </c>
      <c r="C6" s="37" t="s">
        <v>106</v>
      </c>
      <c r="D6" s="37">
        <v>3</v>
      </c>
      <c r="E6" s="37" t="s">
        <v>191</v>
      </c>
    </row>
    <row r="7" spans="1:5" ht="16.5" thickBot="1" x14ac:dyDescent="0.45">
      <c r="A7" s="38" t="s">
        <v>173</v>
      </c>
      <c r="B7" s="39" t="s">
        <v>174</v>
      </c>
      <c r="C7" s="39" t="s">
        <v>106</v>
      </c>
      <c r="D7" s="52">
        <v>0.875</v>
      </c>
      <c r="E7" s="39" t="s">
        <v>418</v>
      </c>
    </row>
    <row r="8" spans="1:5" ht="16.5" thickBot="1" x14ac:dyDescent="0.45">
      <c r="A8" s="36" t="s">
        <v>175</v>
      </c>
      <c r="B8" s="37" t="s">
        <v>174</v>
      </c>
      <c r="C8" s="37" t="s">
        <v>106</v>
      </c>
      <c r="D8" s="53">
        <v>0.20833333333333334</v>
      </c>
      <c r="E8" s="37" t="s">
        <v>419</v>
      </c>
    </row>
    <row r="9" spans="1:5" ht="16.5" thickBot="1" x14ac:dyDescent="0.45">
      <c r="A9" s="38" t="s">
        <v>176</v>
      </c>
      <c r="B9" s="39" t="s">
        <v>147</v>
      </c>
      <c r="C9" s="39" t="s">
        <v>129</v>
      </c>
      <c r="D9" s="51"/>
      <c r="E9" s="39" t="s">
        <v>184</v>
      </c>
    </row>
    <row r="10" spans="1:5" ht="16.5" thickBot="1" x14ac:dyDescent="0.45">
      <c r="A10" s="36" t="s">
        <v>177</v>
      </c>
      <c r="B10" s="37" t="s">
        <v>170</v>
      </c>
      <c r="C10" s="37" t="s">
        <v>129</v>
      </c>
      <c r="D10" s="50"/>
      <c r="E10" s="37" t="s">
        <v>185</v>
      </c>
    </row>
    <row r="11" spans="1:5" ht="16.5" thickBot="1" x14ac:dyDescent="0.45">
      <c r="A11" s="38" t="s">
        <v>178</v>
      </c>
      <c r="B11" s="39" t="s">
        <v>142</v>
      </c>
      <c r="C11" s="39" t="s">
        <v>129</v>
      </c>
      <c r="D11" s="51"/>
      <c r="E11" s="39" t="s">
        <v>186</v>
      </c>
    </row>
    <row r="12" spans="1:5" ht="16.5" thickBot="1" x14ac:dyDescent="0.45">
      <c r="A12" s="36" t="s">
        <v>179</v>
      </c>
      <c r="B12" s="37" t="s">
        <v>120</v>
      </c>
      <c r="C12" s="37" t="s">
        <v>106</v>
      </c>
      <c r="D12" s="37" t="s">
        <v>180</v>
      </c>
      <c r="E12" s="37" t="s">
        <v>192</v>
      </c>
    </row>
    <row r="13" spans="1:5" ht="16.5" thickBot="1" x14ac:dyDescent="0.45">
      <c r="A13" s="38" t="s">
        <v>181</v>
      </c>
      <c r="B13" s="39" t="s">
        <v>118</v>
      </c>
      <c r="C13" s="39" t="s">
        <v>106</v>
      </c>
      <c r="D13" s="39">
        <v>1</v>
      </c>
      <c r="E13" s="39" t="s">
        <v>193</v>
      </c>
    </row>
    <row r="14" spans="1:5" ht="16.5" thickBot="1" x14ac:dyDescent="0.45">
      <c r="A14" s="36" t="s">
        <v>182</v>
      </c>
      <c r="B14" s="37" t="s">
        <v>183</v>
      </c>
      <c r="C14" s="37" t="s">
        <v>129</v>
      </c>
      <c r="D14" s="50" t="s">
        <v>189</v>
      </c>
      <c r="E14" s="37" t="s">
        <v>188</v>
      </c>
    </row>
    <row r="15" spans="1:5" ht="16.5" thickBot="1" x14ac:dyDescent="0.45">
      <c r="A15" s="38" t="s">
        <v>128</v>
      </c>
      <c r="B15" s="39" t="s">
        <v>122</v>
      </c>
      <c r="C15" s="39" t="s">
        <v>106</v>
      </c>
      <c r="D15" s="39"/>
      <c r="E15" s="39" t="s">
        <v>162</v>
      </c>
    </row>
    <row r="16" spans="1:5" ht="16.5" thickBot="1" x14ac:dyDescent="0.45">
      <c r="A16" s="36" t="s">
        <v>131</v>
      </c>
      <c r="B16" s="37" t="s">
        <v>125</v>
      </c>
      <c r="C16" s="37" t="s">
        <v>106</v>
      </c>
      <c r="D16" s="37" t="s">
        <v>126</v>
      </c>
      <c r="E16" s="37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ADD7-55D9-490B-B6E8-2B23DD5166A4}">
  <dimension ref="A1:E23"/>
  <sheetViews>
    <sheetView workbookViewId="0">
      <selection activeCell="F20" sqref="F20"/>
    </sheetView>
  </sheetViews>
  <sheetFormatPr defaultRowHeight="16" x14ac:dyDescent="0.4"/>
  <cols>
    <col min="1" max="1" width="11.4609375" bestFit="1" customWidth="1"/>
    <col min="2" max="2" width="10.69140625" bestFit="1" customWidth="1"/>
    <col min="3" max="3" width="2.84375" bestFit="1" customWidth="1"/>
    <col min="4" max="4" width="7.69140625" bestFit="1" customWidth="1"/>
    <col min="5" max="5" width="50.765625" bestFit="1" customWidth="1"/>
  </cols>
  <sheetData>
    <row r="1" spans="1:5" x14ac:dyDescent="0.4">
      <c r="A1" s="45" t="s">
        <v>81</v>
      </c>
    </row>
    <row r="2" spans="1:5" ht="16.5" thickBot="1" x14ac:dyDescent="0.45"/>
    <row r="3" spans="1:5" ht="16.5" thickBot="1" x14ac:dyDescent="0.45">
      <c r="A3" s="34" t="s">
        <v>99</v>
      </c>
      <c r="B3" s="35" t="s">
        <v>100</v>
      </c>
      <c r="C3" s="35" t="s">
        <v>101</v>
      </c>
      <c r="D3" s="35" t="s">
        <v>102</v>
      </c>
      <c r="E3" s="35" t="s">
        <v>103</v>
      </c>
    </row>
    <row r="4" spans="1:5" ht="16.5" thickBot="1" x14ac:dyDescent="0.45">
      <c r="A4" s="36" t="s">
        <v>196</v>
      </c>
      <c r="B4" s="37" t="s">
        <v>197</v>
      </c>
      <c r="C4" s="37" t="s">
        <v>106</v>
      </c>
      <c r="D4" s="50"/>
      <c r="E4" s="37" t="s">
        <v>198</v>
      </c>
    </row>
    <row r="5" spans="1:5" ht="16.5" thickBot="1" x14ac:dyDescent="0.45">
      <c r="A5" s="38" t="s">
        <v>199</v>
      </c>
      <c r="B5" s="39" t="s">
        <v>200</v>
      </c>
      <c r="C5" s="39" t="s">
        <v>129</v>
      </c>
      <c r="D5" s="51"/>
      <c r="E5" s="39" t="s">
        <v>201</v>
      </c>
    </row>
    <row r="6" spans="1:5" ht="16.5" thickBot="1" x14ac:dyDescent="0.45">
      <c r="A6" s="36" t="s">
        <v>202</v>
      </c>
      <c r="B6" s="37" t="s">
        <v>116</v>
      </c>
      <c r="C6" s="37" t="s">
        <v>106</v>
      </c>
      <c r="D6" s="50"/>
      <c r="E6" s="37" t="s">
        <v>239</v>
      </c>
    </row>
    <row r="7" spans="1:5" ht="16.5" thickBot="1" x14ac:dyDescent="0.45">
      <c r="A7" s="38" t="s">
        <v>203</v>
      </c>
      <c r="B7" s="39" t="s">
        <v>147</v>
      </c>
      <c r="C7" s="39" t="s">
        <v>106</v>
      </c>
      <c r="D7" s="51"/>
      <c r="E7" s="39" t="s">
        <v>240</v>
      </c>
    </row>
    <row r="8" spans="1:5" ht="16.5" thickBot="1" x14ac:dyDescent="0.45">
      <c r="A8" s="36" t="s">
        <v>204</v>
      </c>
      <c r="B8" s="37" t="s">
        <v>118</v>
      </c>
      <c r="C8" s="37" t="s">
        <v>106</v>
      </c>
      <c r="D8" s="37">
        <v>0</v>
      </c>
      <c r="E8" s="37" t="s">
        <v>241</v>
      </c>
    </row>
    <row r="9" spans="1:5" ht="16.5" thickBot="1" x14ac:dyDescent="0.45">
      <c r="A9" s="38" t="s">
        <v>205</v>
      </c>
      <c r="B9" s="39" t="s">
        <v>120</v>
      </c>
      <c r="C9" s="39" t="s">
        <v>106</v>
      </c>
      <c r="D9" s="51"/>
      <c r="E9" s="39" t="s">
        <v>206</v>
      </c>
    </row>
    <row r="10" spans="1:5" ht="16.5" thickBot="1" x14ac:dyDescent="0.45">
      <c r="A10" s="36" t="s">
        <v>207</v>
      </c>
      <c r="B10" s="37" t="s">
        <v>208</v>
      </c>
      <c r="C10" s="37" t="s">
        <v>129</v>
      </c>
      <c r="D10" s="50"/>
      <c r="E10" s="37" t="s">
        <v>242</v>
      </c>
    </row>
    <row r="11" spans="1:5" ht="16.5" thickBot="1" x14ac:dyDescent="0.45">
      <c r="A11" s="38" t="s">
        <v>209</v>
      </c>
      <c r="B11" s="39" t="s">
        <v>210</v>
      </c>
      <c r="C11" s="39" t="s">
        <v>129</v>
      </c>
      <c r="D11" s="51"/>
      <c r="E11" s="39" t="s">
        <v>243</v>
      </c>
    </row>
    <row r="12" spans="1:5" ht="16.5" thickBot="1" x14ac:dyDescent="0.45">
      <c r="A12" s="36" t="s">
        <v>211</v>
      </c>
      <c r="B12" s="37" t="s">
        <v>125</v>
      </c>
      <c r="C12" s="37" t="s">
        <v>106</v>
      </c>
      <c r="D12" s="37" t="s">
        <v>126</v>
      </c>
      <c r="E12" s="37" t="s">
        <v>212</v>
      </c>
    </row>
    <row r="13" spans="1:5" ht="16.5" thickBot="1" x14ac:dyDescent="0.45">
      <c r="A13" s="38" t="s">
        <v>213</v>
      </c>
      <c r="B13" s="39" t="s">
        <v>125</v>
      </c>
      <c r="C13" s="39" t="s">
        <v>129</v>
      </c>
      <c r="D13" s="51"/>
      <c r="E13" s="39" t="s">
        <v>214</v>
      </c>
    </row>
    <row r="14" spans="1:5" ht="16.5" thickBot="1" x14ac:dyDescent="0.45">
      <c r="A14" s="36" t="s">
        <v>215</v>
      </c>
      <c r="B14" s="37" t="s">
        <v>216</v>
      </c>
      <c r="C14" s="37" t="s">
        <v>106</v>
      </c>
      <c r="D14" s="37" t="s">
        <v>217</v>
      </c>
      <c r="E14" s="37" t="s">
        <v>218</v>
      </c>
    </row>
    <row r="15" spans="1:5" ht="16.5" thickBot="1" x14ac:dyDescent="0.45">
      <c r="A15" s="38" t="s">
        <v>219</v>
      </c>
      <c r="B15" s="39" t="s">
        <v>142</v>
      </c>
      <c r="C15" s="39" t="s">
        <v>129</v>
      </c>
      <c r="D15" s="51"/>
      <c r="E15" s="39" t="s">
        <v>220</v>
      </c>
    </row>
    <row r="16" spans="1:5" ht="16.5" thickBot="1" x14ac:dyDescent="0.45">
      <c r="A16" s="36" t="s">
        <v>221</v>
      </c>
      <c r="B16" s="37" t="s">
        <v>142</v>
      </c>
      <c r="C16" s="37" t="s">
        <v>129</v>
      </c>
      <c r="D16" s="50"/>
      <c r="E16" s="37" t="s">
        <v>222</v>
      </c>
    </row>
    <row r="17" spans="1:5" ht="16.5" thickBot="1" x14ac:dyDescent="0.45">
      <c r="A17" s="38" t="s">
        <v>223</v>
      </c>
      <c r="B17" s="39" t="s">
        <v>142</v>
      </c>
      <c r="C17" s="39" t="s">
        <v>129</v>
      </c>
      <c r="D17" s="51"/>
      <c r="E17" s="39" t="s">
        <v>224</v>
      </c>
    </row>
    <row r="18" spans="1:5" ht="16.5" thickBot="1" x14ac:dyDescent="0.45">
      <c r="A18" s="36" t="s">
        <v>225</v>
      </c>
      <c r="B18" s="37" t="s">
        <v>142</v>
      </c>
      <c r="C18" s="37" t="s">
        <v>129</v>
      </c>
      <c r="D18" s="50"/>
      <c r="E18" s="37" t="s">
        <v>226</v>
      </c>
    </row>
    <row r="19" spans="1:5" ht="16.5" thickBot="1" x14ac:dyDescent="0.45">
      <c r="A19" s="38" t="s">
        <v>227</v>
      </c>
      <c r="B19" s="39" t="s">
        <v>228</v>
      </c>
      <c r="C19" s="39" t="s">
        <v>129</v>
      </c>
      <c r="D19" s="51"/>
      <c r="E19" s="39" t="s">
        <v>229</v>
      </c>
    </row>
    <row r="20" spans="1:5" ht="16.5" thickBot="1" x14ac:dyDescent="0.45">
      <c r="A20" s="36" t="s">
        <v>230</v>
      </c>
      <c r="B20" s="37" t="s">
        <v>231</v>
      </c>
      <c r="C20" s="37" t="s">
        <v>129</v>
      </c>
      <c r="D20" s="50"/>
      <c r="E20" s="37" t="s">
        <v>232</v>
      </c>
    </row>
    <row r="21" spans="1:5" ht="16.5" thickBot="1" x14ac:dyDescent="0.45">
      <c r="A21" s="38" t="s">
        <v>233</v>
      </c>
      <c r="B21" s="39" t="s">
        <v>118</v>
      </c>
      <c r="C21" s="39" t="s">
        <v>106</v>
      </c>
      <c r="D21" s="39">
        <v>0</v>
      </c>
      <c r="E21" s="39" t="s">
        <v>234</v>
      </c>
    </row>
    <row r="22" spans="1:5" ht="16.5" thickBot="1" x14ac:dyDescent="0.45">
      <c r="A22" s="36" t="s">
        <v>235</v>
      </c>
      <c r="B22" s="37" t="s">
        <v>122</v>
      </c>
      <c r="C22" s="37" t="s">
        <v>129</v>
      </c>
      <c r="D22" s="50"/>
      <c r="E22" s="37" t="s">
        <v>236</v>
      </c>
    </row>
    <row r="23" spans="1:5" ht="16.5" thickBot="1" x14ac:dyDescent="0.45">
      <c r="A23" s="38" t="s">
        <v>237</v>
      </c>
      <c r="B23" s="39" t="s">
        <v>114</v>
      </c>
      <c r="C23" s="39" t="s">
        <v>129</v>
      </c>
      <c r="D23" s="51"/>
      <c r="E23" s="39" t="s">
        <v>238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13EE-4CCE-4218-8AE9-34EFBC91BF48}">
  <dimension ref="A1:E38"/>
  <sheetViews>
    <sheetView workbookViewId="0">
      <selection activeCell="A39" sqref="A39"/>
    </sheetView>
  </sheetViews>
  <sheetFormatPr defaultRowHeight="16" x14ac:dyDescent="0.4"/>
  <cols>
    <col min="1" max="1" width="13" bestFit="1" customWidth="1"/>
    <col min="2" max="2" width="10.15234375" bestFit="1" customWidth="1"/>
    <col min="3" max="3" width="2.84375" bestFit="1" customWidth="1"/>
    <col min="4" max="4" width="8.3046875" bestFit="1" customWidth="1"/>
    <col min="5" max="5" width="72.765625" bestFit="1" customWidth="1"/>
  </cols>
  <sheetData>
    <row r="1" spans="1:5" x14ac:dyDescent="0.4">
      <c r="A1" s="45" t="s">
        <v>83</v>
      </c>
    </row>
    <row r="2" spans="1:5" ht="16.5" thickBot="1" x14ac:dyDescent="0.45"/>
    <row r="3" spans="1:5" ht="16.5" thickBot="1" x14ac:dyDescent="0.45">
      <c r="A3" s="34" t="s">
        <v>99</v>
      </c>
      <c r="B3" s="35" t="s">
        <v>100</v>
      </c>
      <c r="C3" s="35" t="s">
        <v>101</v>
      </c>
      <c r="D3" s="35" t="s">
        <v>102</v>
      </c>
      <c r="E3" s="35" t="s">
        <v>103</v>
      </c>
    </row>
    <row r="4" spans="1:5" ht="16.5" thickBot="1" x14ac:dyDescent="0.45">
      <c r="A4" s="36" t="s">
        <v>244</v>
      </c>
      <c r="B4" s="37" t="s">
        <v>197</v>
      </c>
      <c r="C4" s="37" t="s">
        <v>106</v>
      </c>
      <c r="D4" s="50"/>
      <c r="E4" s="37" t="s">
        <v>245</v>
      </c>
    </row>
    <row r="5" spans="1:5" ht="16.5" thickBot="1" x14ac:dyDescent="0.45">
      <c r="A5" s="38" t="s">
        <v>196</v>
      </c>
      <c r="B5" s="39" t="s">
        <v>149</v>
      </c>
      <c r="C5" s="39" t="s">
        <v>106</v>
      </c>
      <c r="D5" s="51"/>
      <c r="E5" s="39" t="s">
        <v>246</v>
      </c>
    </row>
    <row r="6" spans="1:5" ht="16.5" thickBot="1" x14ac:dyDescent="0.45">
      <c r="A6" s="36" t="s">
        <v>104</v>
      </c>
      <c r="B6" s="37" t="s">
        <v>142</v>
      </c>
      <c r="C6" s="37" t="s">
        <v>106</v>
      </c>
      <c r="D6" s="50"/>
      <c r="E6" s="37" t="s">
        <v>247</v>
      </c>
    </row>
    <row r="7" spans="1:5" ht="16.5" thickBot="1" x14ac:dyDescent="0.45">
      <c r="A7" s="38" t="s">
        <v>202</v>
      </c>
      <c r="B7" s="39" t="s">
        <v>116</v>
      </c>
      <c r="C7" s="39" t="s">
        <v>106</v>
      </c>
      <c r="D7" s="51"/>
      <c r="E7" s="39" t="s">
        <v>289</v>
      </c>
    </row>
    <row r="8" spans="1:5" ht="16.5" thickBot="1" x14ac:dyDescent="0.45">
      <c r="A8" s="36" t="s">
        <v>203</v>
      </c>
      <c r="B8" s="37" t="s">
        <v>147</v>
      </c>
      <c r="C8" s="37" t="s">
        <v>106</v>
      </c>
      <c r="D8" s="50"/>
      <c r="E8" s="37" t="s">
        <v>290</v>
      </c>
    </row>
    <row r="9" spans="1:5" ht="16.5" thickBot="1" x14ac:dyDescent="0.45">
      <c r="A9" s="38" t="s">
        <v>248</v>
      </c>
      <c r="B9" s="39" t="s">
        <v>147</v>
      </c>
      <c r="C9" s="39" t="s">
        <v>129</v>
      </c>
      <c r="D9" s="51"/>
      <c r="E9" s="39" t="s">
        <v>291</v>
      </c>
    </row>
    <row r="10" spans="1:5" ht="16.5" thickBot="1" x14ac:dyDescent="0.45">
      <c r="A10" s="36" t="s">
        <v>249</v>
      </c>
      <c r="B10" s="37" t="s">
        <v>147</v>
      </c>
      <c r="C10" s="37" t="s">
        <v>129</v>
      </c>
      <c r="D10" s="50"/>
      <c r="E10" s="37" t="s">
        <v>292</v>
      </c>
    </row>
    <row r="11" spans="1:5" ht="16.5" thickBot="1" x14ac:dyDescent="0.45">
      <c r="A11" s="38" t="s">
        <v>250</v>
      </c>
      <c r="B11" s="39" t="s">
        <v>116</v>
      </c>
      <c r="C11" s="39" t="s">
        <v>129</v>
      </c>
      <c r="D11" s="51"/>
      <c r="E11" s="39" t="s">
        <v>251</v>
      </c>
    </row>
    <row r="12" spans="1:5" ht="16.5" thickBot="1" x14ac:dyDescent="0.45">
      <c r="A12" s="36" t="s">
        <v>252</v>
      </c>
      <c r="B12" s="37" t="s">
        <v>149</v>
      </c>
      <c r="C12" s="37" t="s">
        <v>129</v>
      </c>
      <c r="D12" s="50"/>
      <c r="E12" s="37" t="s">
        <v>293</v>
      </c>
    </row>
    <row r="13" spans="1:5" ht="16.5" thickBot="1" x14ac:dyDescent="0.45">
      <c r="A13" s="38" t="s">
        <v>253</v>
      </c>
      <c r="B13" s="39" t="s">
        <v>149</v>
      </c>
      <c r="C13" s="39" t="s">
        <v>129</v>
      </c>
      <c r="D13" s="51"/>
      <c r="E13" s="39" t="s">
        <v>254</v>
      </c>
    </row>
    <row r="14" spans="1:5" ht="16.5" thickBot="1" x14ac:dyDescent="0.45">
      <c r="A14" s="36" t="s">
        <v>255</v>
      </c>
      <c r="B14" s="37" t="s">
        <v>149</v>
      </c>
      <c r="C14" s="37" t="s">
        <v>129</v>
      </c>
      <c r="D14" s="50"/>
      <c r="E14" s="37" t="s">
        <v>294</v>
      </c>
    </row>
    <row r="15" spans="1:5" ht="16.5" thickBot="1" x14ac:dyDescent="0.45">
      <c r="A15" s="38" t="s">
        <v>256</v>
      </c>
      <c r="B15" s="39" t="s">
        <v>142</v>
      </c>
      <c r="C15" s="39" t="s">
        <v>129</v>
      </c>
      <c r="D15" s="51"/>
      <c r="E15" s="39" t="s">
        <v>257</v>
      </c>
    </row>
    <row r="16" spans="1:5" ht="16.5" thickBot="1" x14ac:dyDescent="0.45">
      <c r="A16" s="36" t="s">
        <v>258</v>
      </c>
      <c r="B16" s="37" t="s">
        <v>149</v>
      </c>
      <c r="C16" s="37" t="s">
        <v>129</v>
      </c>
      <c r="D16" s="50"/>
      <c r="E16" s="37" t="s">
        <v>295</v>
      </c>
    </row>
    <row r="17" spans="1:5" ht="16.5" thickBot="1" x14ac:dyDescent="0.45">
      <c r="A17" s="38" t="s">
        <v>259</v>
      </c>
      <c r="B17" s="39" t="s">
        <v>149</v>
      </c>
      <c r="C17" s="39" t="s">
        <v>129</v>
      </c>
      <c r="D17" s="51"/>
      <c r="E17" s="39" t="s">
        <v>296</v>
      </c>
    </row>
    <row r="18" spans="1:5" ht="16.5" thickBot="1" x14ac:dyDescent="0.45">
      <c r="A18" s="36" t="s">
        <v>260</v>
      </c>
      <c r="B18" s="37" t="s">
        <v>149</v>
      </c>
      <c r="C18" s="37" t="s">
        <v>129</v>
      </c>
      <c r="D18" s="50"/>
      <c r="E18" s="37" t="s">
        <v>297</v>
      </c>
    </row>
    <row r="19" spans="1:5" ht="16.5" thickBot="1" x14ac:dyDescent="0.45">
      <c r="A19" s="38" t="s">
        <v>261</v>
      </c>
      <c r="B19" s="39" t="s">
        <v>149</v>
      </c>
      <c r="C19" s="39" t="s">
        <v>129</v>
      </c>
      <c r="D19" s="51"/>
      <c r="E19" s="39" t="s">
        <v>298</v>
      </c>
    </row>
    <row r="20" spans="1:5" ht="16.5" thickBot="1" x14ac:dyDescent="0.45">
      <c r="A20" s="36" t="s">
        <v>262</v>
      </c>
      <c r="B20" s="37" t="s">
        <v>142</v>
      </c>
      <c r="C20" s="37" t="s">
        <v>129</v>
      </c>
      <c r="D20" s="50"/>
      <c r="E20" s="37" t="s">
        <v>263</v>
      </c>
    </row>
    <row r="21" spans="1:5" ht="16.5" thickBot="1" x14ac:dyDescent="0.45">
      <c r="A21" s="38" t="s">
        <v>264</v>
      </c>
      <c r="B21" s="39" t="s">
        <v>265</v>
      </c>
      <c r="C21" s="39" t="s">
        <v>129</v>
      </c>
      <c r="D21" s="51"/>
      <c r="E21" s="39" t="s">
        <v>266</v>
      </c>
    </row>
    <row r="22" spans="1:5" ht="16.5" thickBot="1" x14ac:dyDescent="0.45">
      <c r="A22" s="36" t="s">
        <v>267</v>
      </c>
      <c r="B22" s="37" t="s">
        <v>142</v>
      </c>
      <c r="C22" s="37" t="s">
        <v>129</v>
      </c>
      <c r="D22" s="50"/>
      <c r="E22" s="37" t="s">
        <v>299</v>
      </c>
    </row>
    <row r="23" spans="1:5" ht="16.5" thickBot="1" x14ac:dyDescent="0.45">
      <c r="A23" s="38" t="s">
        <v>268</v>
      </c>
      <c r="B23" s="39" t="s">
        <v>142</v>
      </c>
      <c r="C23" s="39" t="s">
        <v>129</v>
      </c>
      <c r="D23" s="51"/>
      <c r="E23" s="39" t="s">
        <v>300</v>
      </c>
    </row>
    <row r="24" spans="1:5" ht="16.5" thickBot="1" x14ac:dyDescent="0.45">
      <c r="A24" s="36" t="s">
        <v>269</v>
      </c>
      <c r="B24" s="37" t="s">
        <v>149</v>
      </c>
      <c r="C24" s="37" t="s">
        <v>129</v>
      </c>
      <c r="D24" s="50"/>
      <c r="E24" s="37" t="s">
        <v>301</v>
      </c>
    </row>
    <row r="25" spans="1:5" ht="16.5" thickBot="1" x14ac:dyDescent="0.45">
      <c r="A25" s="38" t="s">
        <v>270</v>
      </c>
      <c r="B25" s="39" t="s">
        <v>149</v>
      </c>
      <c r="C25" s="39" t="s">
        <v>129</v>
      </c>
      <c r="D25" s="51"/>
      <c r="E25" s="39" t="s">
        <v>302</v>
      </c>
    </row>
    <row r="26" spans="1:5" ht="16.5" thickBot="1" x14ac:dyDescent="0.45">
      <c r="A26" s="36" t="s">
        <v>271</v>
      </c>
      <c r="B26" s="37" t="s">
        <v>118</v>
      </c>
      <c r="C26" s="37" t="s">
        <v>106</v>
      </c>
      <c r="D26" s="37">
        <v>0</v>
      </c>
      <c r="E26" s="37" t="s">
        <v>303</v>
      </c>
    </row>
    <row r="27" spans="1:5" ht="16.5" thickBot="1" x14ac:dyDescent="0.45">
      <c r="A27" s="38" t="s">
        <v>272</v>
      </c>
      <c r="B27" s="39" t="s">
        <v>147</v>
      </c>
      <c r="C27" s="39" t="s">
        <v>129</v>
      </c>
      <c r="D27" s="51"/>
      <c r="E27" s="39" t="s">
        <v>273</v>
      </c>
    </row>
    <row r="28" spans="1:5" ht="16.5" thickBot="1" x14ac:dyDescent="0.45">
      <c r="A28" s="36" t="s">
        <v>274</v>
      </c>
      <c r="B28" s="37" t="s">
        <v>147</v>
      </c>
      <c r="C28" s="37" t="s">
        <v>129</v>
      </c>
      <c r="D28" s="50"/>
      <c r="E28" s="37" t="s">
        <v>275</v>
      </c>
    </row>
    <row r="29" spans="1:5" ht="16.5" thickBot="1" x14ac:dyDescent="0.45">
      <c r="A29" s="38" t="s">
        <v>276</v>
      </c>
      <c r="B29" s="39" t="s">
        <v>149</v>
      </c>
      <c r="C29" s="39" t="s">
        <v>129</v>
      </c>
      <c r="D29" s="51"/>
      <c r="E29" s="39" t="s">
        <v>277</v>
      </c>
    </row>
    <row r="30" spans="1:5" ht="16.5" thickBot="1" x14ac:dyDescent="0.45">
      <c r="A30" s="36" t="s">
        <v>278</v>
      </c>
      <c r="B30" s="37" t="s">
        <v>279</v>
      </c>
      <c r="C30" s="37" t="s">
        <v>106</v>
      </c>
      <c r="D30" s="37" t="s">
        <v>280</v>
      </c>
      <c r="E30" s="37" t="s">
        <v>281</v>
      </c>
    </row>
    <row r="31" spans="1:5" ht="16.5" thickBot="1" x14ac:dyDescent="0.45">
      <c r="A31" s="38" t="s">
        <v>282</v>
      </c>
      <c r="B31" s="39" t="s">
        <v>149</v>
      </c>
      <c r="C31" s="39" t="s">
        <v>129</v>
      </c>
      <c r="D31" s="51"/>
      <c r="E31" s="39" t="s">
        <v>283</v>
      </c>
    </row>
    <row r="32" spans="1:5" ht="16.5" thickBot="1" x14ac:dyDescent="0.45">
      <c r="A32" s="36" t="s">
        <v>215</v>
      </c>
      <c r="B32" s="37" t="s">
        <v>120</v>
      </c>
      <c r="C32" s="37" t="s">
        <v>106</v>
      </c>
      <c r="D32" s="37" t="s">
        <v>217</v>
      </c>
      <c r="E32" s="37" t="s">
        <v>304</v>
      </c>
    </row>
    <row r="33" spans="1:5" ht="16.5" thickBot="1" x14ac:dyDescent="0.45">
      <c r="A33" s="38" t="s">
        <v>211</v>
      </c>
      <c r="B33" s="39" t="s">
        <v>125</v>
      </c>
      <c r="C33" s="39" t="s">
        <v>106</v>
      </c>
      <c r="D33" s="39" t="s">
        <v>126</v>
      </c>
      <c r="E33" s="39" t="s">
        <v>305</v>
      </c>
    </row>
    <row r="34" spans="1:5" ht="16.5" thickBot="1" x14ac:dyDescent="0.45">
      <c r="A34" s="36" t="s">
        <v>213</v>
      </c>
      <c r="B34" s="37" t="s">
        <v>125</v>
      </c>
      <c r="C34" s="37" t="s">
        <v>129</v>
      </c>
      <c r="D34" s="50"/>
      <c r="E34" s="37" t="s">
        <v>306</v>
      </c>
    </row>
    <row r="35" spans="1:5" ht="16.5" thickBot="1" x14ac:dyDescent="0.45">
      <c r="A35" s="38" t="s">
        <v>227</v>
      </c>
      <c r="B35" s="39" t="s">
        <v>228</v>
      </c>
      <c r="C35" s="39" t="s">
        <v>129</v>
      </c>
      <c r="D35" s="51"/>
      <c r="E35" s="39" t="s">
        <v>307</v>
      </c>
    </row>
    <row r="36" spans="1:5" ht="16.5" thickBot="1" x14ac:dyDescent="0.45">
      <c r="A36" s="36" t="s">
        <v>284</v>
      </c>
      <c r="B36" s="37" t="s">
        <v>142</v>
      </c>
      <c r="C36" s="37" t="s">
        <v>129</v>
      </c>
      <c r="D36" s="50"/>
      <c r="E36" s="37" t="s">
        <v>285</v>
      </c>
    </row>
    <row r="37" spans="1:5" ht="16.5" thickBot="1" x14ac:dyDescent="0.45">
      <c r="A37" s="38" t="s">
        <v>286</v>
      </c>
      <c r="B37" s="39" t="s">
        <v>287</v>
      </c>
      <c r="C37" s="39" t="s">
        <v>129</v>
      </c>
      <c r="D37" s="51"/>
      <c r="E37" s="39" t="s">
        <v>288</v>
      </c>
    </row>
    <row r="38" spans="1:5" ht="16.5" thickBot="1" x14ac:dyDescent="0.45">
      <c r="A38" s="36" t="s">
        <v>230</v>
      </c>
      <c r="B38" s="37" t="s">
        <v>231</v>
      </c>
      <c r="C38" s="37" t="s">
        <v>129</v>
      </c>
      <c r="D38" s="50"/>
      <c r="E38" s="37" t="s">
        <v>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1942-849C-47FE-91B5-2CFB7A9324D2}">
  <dimension ref="A1:E18"/>
  <sheetViews>
    <sheetView workbookViewId="0">
      <selection activeCell="A18" sqref="A18"/>
    </sheetView>
  </sheetViews>
  <sheetFormatPr defaultRowHeight="16" x14ac:dyDescent="0.4"/>
  <cols>
    <col min="1" max="1" width="9.4609375" bestFit="1" customWidth="1"/>
    <col min="2" max="2" width="10.3046875" bestFit="1" customWidth="1"/>
    <col min="3" max="3" width="2.84375" bestFit="1" customWidth="1"/>
    <col min="4" max="4" width="5.61328125" bestFit="1" customWidth="1"/>
    <col min="5" max="5" width="50.3828125" bestFit="1" customWidth="1"/>
  </cols>
  <sheetData>
    <row r="1" spans="1:5" x14ac:dyDescent="0.4">
      <c r="A1" s="45" t="s">
        <v>84</v>
      </c>
    </row>
    <row r="2" spans="1:5" ht="16.5" thickBot="1" x14ac:dyDescent="0.45"/>
    <row r="3" spans="1:5" ht="16.5" thickBot="1" x14ac:dyDescent="0.45">
      <c r="A3" s="34" t="s">
        <v>99</v>
      </c>
      <c r="B3" s="35" t="s">
        <v>100</v>
      </c>
      <c r="C3" s="35" t="s">
        <v>101</v>
      </c>
      <c r="D3" s="35" t="s">
        <v>102</v>
      </c>
      <c r="E3" s="35" t="s">
        <v>103</v>
      </c>
    </row>
    <row r="4" spans="1:5" ht="16.5" thickBot="1" x14ac:dyDescent="0.45">
      <c r="A4" s="36" t="s">
        <v>244</v>
      </c>
      <c r="B4" s="37" t="s">
        <v>149</v>
      </c>
      <c r="C4" s="37" t="s">
        <v>106</v>
      </c>
      <c r="D4" s="50"/>
      <c r="E4" s="37" t="s">
        <v>309</v>
      </c>
    </row>
    <row r="5" spans="1:5" ht="16.5" thickBot="1" x14ac:dyDescent="0.45">
      <c r="A5" s="38" t="s">
        <v>310</v>
      </c>
      <c r="B5" s="39" t="s">
        <v>147</v>
      </c>
      <c r="C5" s="39" t="s">
        <v>106</v>
      </c>
      <c r="D5" s="51"/>
      <c r="E5" s="39" t="s">
        <v>311</v>
      </c>
    </row>
    <row r="6" spans="1:5" ht="16.5" thickBot="1" x14ac:dyDescent="0.45">
      <c r="A6" s="36" t="s">
        <v>196</v>
      </c>
      <c r="B6" s="37" t="s">
        <v>149</v>
      </c>
      <c r="C6" s="37" t="s">
        <v>106</v>
      </c>
      <c r="D6" s="50"/>
      <c r="E6" s="37" t="s">
        <v>312</v>
      </c>
    </row>
    <row r="7" spans="1:5" ht="16.5" thickBot="1" x14ac:dyDescent="0.45">
      <c r="A7" s="38" t="s">
        <v>104</v>
      </c>
      <c r="B7" s="39" t="s">
        <v>142</v>
      </c>
      <c r="C7" s="39" t="s">
        <v>106</v>
      </c>
      <c r="D7" s="51"/>
      <c r="E7" s="39" t="s">
        <v>313</v>
      </c>
    </row>
    <row r="8" spans="1:5" ht="16.5" thickBot="1" x14ac:dyDescent="0.45">
      <c r="A8" s="36" t="s">
        <v>314</v>
      </c>
      <c r="B8" s="37" t="s">
        <v>149</v>
      </c>
      <c r="C8" s="37" t="s">
        <v>106</v>
      </c>
      <c r="D8" s="50"/>
      <c r="E8" s="37" t="s">
        <v>331</v>
      </c>
    </row>
    <row r="9" spans="1:5" ht="16.5" thickBot="1" x14ac:dyDescent="0.45">
      <c r="A9" s="38" t="s">
        <v>315</v>
      </c>
      <c r="B9" s="39" t="s">
        <v>149</v>
      </c>
      <c r="C9" s="39" t="s">
        <v>129</v>
      </c>
      <c r="D9" s="51"/>
      <c r="E9" s="39" t="s">
        <v>316</v>
      </c>
    </row>
    <row r="10" spans="1:5" ht="16.5" thickBot="1" x14ac:dyDescent="0.45">
      <c r="A10" s="36" t="s">
        <v>317</v>
      </c>
      <c r="B10" s="37" t="s">
        <v>149</v>
      </c>
      <c r="C10" s="37" t="s">
        <v>129</v>
      </c>
      <c r="D10" s="50"/>
      <c r="E10" s="37" t="s">
        <v>332</v>
      </c>
    </row>
    <row r="11" spans="1:5" ht="16.5" thickBot="1" x14ac:dyDescent="0.45">
      <c r="A11" s="38" t="s">
        <v>318</v>
      </c>
      <c r="B11" s="39" t="s">
        <v>142</v>
      </c>
      <c r="C11" s="39" t="s">
        <v>129</v>
      </c>
      <c r="D11" s="51"/>
      <c r="E11" s="39" t="s">
        <v>319</v>
      </c>
    </row>
    <row r="12" spans="1:5" ht="16.5" thickBot="1" x14ac:dyDescent="0.45">
      <c r="A12" s="36" t="s">
        <v>320</v>
      </c>
      <c r="B12" s="37" t="s">
        <v>321</v>
      </c>
      <c r="C12" s="37" t="s">
        <v>106</v>
      </c>
      <c r="D12" s="50"/>
      <c r="E12" s="37" t="s">
        <v>333</v>
      </c>
    </row>
    <row r="13" spans="1:5" ht="16.5" thickBot="1" x14ac:dyDescent="0.45">
      <c r="A13" s="38" t="s">
        <v>322</v>
      </c>
      <c r="B13" s="39" t="s">
        <v>114</v>
      </c>
      <c r="C13" s="39" t="s">
        <v>106</v>
      </c>
      <c r="D13" s="51"/>
      <c r="E13" s="39" t="s">
        <v>334</v>
      </c>
    </row>
    <row r="14" spans="1:5" ht="16.5" thickBot="1" x14ac:dyDescent="0.45">
      <c r="A14" s="36" t="s">
        <v>323</v>
      </c>
      <c r="B14" s="37" t="s">
        <v>120</v>
      </c>
      <c r="C14" s="37" t="s">
        <v>106</v>
      </c>
      <c r="D14" s="37" t="s">
        <v>145</v>
      </c>
      <c r="E14" s="37" t="s">
        <v>335</v>
      </c>
    </row>
    <row r="15" spans="1:5" ht="16.5" thickBot="1" x14ac:dyDescent="0.45">
      <c r="A15" s="38" t="s">
        <v>324</v>
      </c>
      <c r="B15" s="39" t="s">
        <v>120</v>
      </c>
      <c r="C15" s="39" t="s">
        <v>129</v>
      </c>
      <c r="D15" s="51"/>
      <c r="E15" s="39" t="s">
        <v>325</v>
      </c>
    </row>
    <row r="16" spans="1:5" ht="16.5" thickBot="1" x14ac:dyDescent="0.45">
      <c r="A16" s="36" t="s">
        <v>326</v>
      </c>
      <c r="B16" s="37" t="s">
        <v>125</v>
      </c>
      <c r="C16" s="37" t="s">
        <v>129</v>
      </c>
      <c r="D16" s="50"/>
      <c r="E16" s="37" t="s">
        <v>327</v>
      </c>
    </row>
    <row r="17" spans="1:5" ht="16.5" thickBot="1" x14ac:dyDescent="0.45">
      <c r="A17" s="38" t="s">
        <v>328</v>
      </c>
      <c r="B17" s="39" t="s">
        <v>125</v>
      </c>
      <c r="C17" s="39" t="s">
        <v>129</v>
      </c>
      <c r="D17" s="51"/>
      <c r="E17" s="39" t="s">
        <v>329</v>
      </c>
    </row>
    <row r="18" spans="1:5" ht="16.5" thickBot="1" x14ac:dyDescent="0.45">
      <c r="A18" s="36" t="s">
        <v>230</v>
      </c>
      <c r="B18" s="37" t="s">
        <v>231</v>
      </c>
      <c r="C18" s="37" t="s">
        <v>129</v>
      </c>
      <c r="D18" s="50"/>
      <c r="E18" s="37" t="s">
        <v>330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495F-74EF-4866-9E95-2DCFC506F482}">
  <dimension ref="A1:E25"/>
  <sheetViews>
    <sheetView workbookViewId="0">
      <selection activeCell="E13" sqref="E13"/>
    </sheetView>
  </sheetViews>
  <sheetFormatPr defaultRowHeight="16" x14ac:dyDescent="0.4"/>
  <cols>
    <col min="1" max="1" width="12" bestFit="1" customWidth="1"/>
    <col min="2" max="2" width="10.3046875" bestFit="1" customWidth="1"/>
    <col min="3" max="3" width="2.84375" bestFit="1" customWidth="1"/>
    <col min="4" max="4" width="7.69140625" bestFit="1" customWidth="1"/>
    <col min="5" max="5" width="102.3046875" bestFit="1" customWidth="1"/>
  </cols>
  <sheetData>
    <row r="1" spans="1:5" x14ac:dyDescent="0.4">
      <c r="A1" s="45" t="s">
        <v>85</v>
      </c>
    </row>
    <row r="2" spans="1:5" ht="16.5" thickBot="1" x14ac:dyDescent="0.45"/>
    <row r="3" spans="1:5" ht="16.5" thickBot="1" x14ac:dyDescent="0.45">
      <c r="A3" s="34" t="s">
        <v>99</v>
      </c>
      <c r="B3" s="35" t="s">
        <v>100</v>
      </c>
      <c r="C3" s="35" t="s">
        <v>101</v>
      </c>
      <c r="D3" s="35" t="s">
        <v>102</v>
      </c>
      <c r="E3" s="35" t="s">
        <v>103</v>
      </c>
    </row>
    <row r="4" spans="1:5" ht="16.5" thickBot="1" x14ac:dyDescent="0.45">
      <c r="A4" s="36" t="s">
        <v>336</v>
      </c>
      <c r="B4" s="37" t="s">
        <v>197</v>
      </c>
      <c r="C4" s="37" t="s">
        <v>106</v>
      </c>
      <c r="D4" s="50"/>
      <c r="E4" s="37" t="s">
        <v>337</v>
      </c>
    </row>
    <row r="5" spans="1:5" ht="16.5" thickBot="1" x14ac:dyDescent="0.45">
      <c r="A5" s="38" t="s">
        <v>196</v>
      </c>
      <c r="B5" s="39" t="s">
        <v>149</v>
      </c>
      <c r="C5" s="39" t="s">
        <v>106</v>
      </c>
      <c r="D5" s="51"/>
      <c r="E5" s="39" t="s">
        <v>338</v>
      </c>
    </row>
    <row r="6" spans="1:5" ht="16.5" thickBot="1" x14ac:dyDescent="0.45">
      <c r="A6" s="36" t="s">
        <v>244</v>
      </c>
      <c r="B6" s="37" t="s">
        <v>149</v>
      </c>
      <c r="C6" s="37" t="s">
        <v>129</v>
      </c>
      <c r="D6" s="50"/>
      <c r="E6" s="37" t="s">
        <v>339</v>
      </c>
    </row>
    <row r="7" spans="1:5" ht="16.5" thickBot="1" x14ac:dyDescent="0.45">
      <c r="A7" s="38" t="s">
        <v>104</v>
      </c>
      <c r="B7" s="39" t="s">
        <v>142</v>
      </c>
      <c r="C7" s="39" t="s">
        <v>129</v>
      </c>
      <c r="D7" s="51"/>
      <c r="E7" s="39" t="s">
        <v>340</v>
      </c>
    </row>
    <row r="8" spans="1:5" ht="16.5" thickBot="1" x14ac:dyDescent="0.45">
      <c r="A8" s="36" t="s">
        <v>341</v>
      </c>
      <c r="B8" s="37" t="s">
        <v>287</v>
      </c>
      <c r="C8" s="37" t="s">
        <v>106</v>
      </c>
      <c r="D8" s="50"/>
      <c r="E8" s="37" t="s">
        <v>342</v>
      </c>
    </row>
    <row r="9" spans="1:5" ht="16.5" thickBot="1" x14ac:dyDescent="0.45">
      <c r="A9" s="38" t="s">
        <v>343</v>
      </c>
      <c r="B9" s="39" t="s">
        <v>344</v>
      </c>
      <c r="C9" s="39" t="s">
        <v>129</v>
      </c>
      <c r="D9" s="51"/>
      <c r="E9" s="39" t="s">
        <v>345</v>
      </c>
    </row>
    <row r="10" spans="1:5" ht="16.5" thickBot="1" x14ac:dyDescent="0.45">
      <c r="A10" s="36" t="s">
        <v>310</v>
      </c>
      <c r="B10" s="37" t="s">
        <v>147</v>
      </c>
      <c r="C10" s="37" t="s">
        <v>129</v>
      </c>
      <c r="D10" s="50"/>
      <c r="E10" s="37" t="s">
        <v>346</v>
      </c>
    </row>
    <row r="11" spans="1:5" ht="16.5" thickBot="1" x14ac:dyDescent="0.45">
      <c r="A11" s="38" t="s">
        <v>314</v>
      </c>
      <c r="B11" s="39" t="s">
        <v>149</v>
      </c>
      <c r="C11" s="39" t="s">
        <v>129</v>
      </c>
      <c r="D11" s="51"/>
      <c r="E11" s="39" t="s">
        <v>347</v>
      </c>
    </row>
    <row r="12" spans="1:5" ht="16.5" thickBot="1" x14ac:dyDescent="0.45">
      <c r="A12" s="36" t="s">
        <v>315</v>
      </c>
      <c r="B12" s="37" t="s">
        <v>149</v>
      </c>
      <c r="C12" s="37" t="s">
        <v>129</v>
      </c>
      <c r="D12" s="50"/>
      <c r="E12" s="37" t="s">
        <v>348</v>
      </c>
    </row>
    <row r="13" spans="1:5" ht="16.5" thickBot="1" x14ac:dyDescent="0.45">
      <c r="A13" s="38" t="s">
        <v>317</v>
      </c>
      <c r="B13" s="39" t="s">
        <v>149</v>
      </c>
      <c r="C13" s="39" t="s">
        <v>129</v>
      </c>
      <c r="D13" s="51"/>
      <c r="E13" s="39" t="s">
        <v>349</v>
      </c>
    </row>
    <row r="14" spans="1:5" ht="16.5" thickBot="1" x14ac:dyDescent="0.45">
      <c r="A14" s="36" t="s">
        <v>350</v>
      </c>
      <c r="B14" s="37" t="s">
        <v>351</v>
      </c>
      <c r="C14" s="37" t="s">
        <v>129</v>
      </c>
      <c r="D14" s="50"/>
      <c r="E14" s="37" t="s">
        <v>352</v>
      </c>
    </row>
    <row r="15" spans="1:5" ht="16.5" thickBot="1" x14ac:dyDescent="0.45">
      <c r="A15" s="38" t="s">
        <v>318</v>
      </c>
      <c r="B15" s="39" t="s">
        <v>142</v>
      </c>
      <c r="C15" s="39" t="s">
        <v>129</v>
      </c>
      <c r="D15" s="51"/>
      <c r="E15" s="39" t="s">
        <v>353</v>
      </c>
    </row>
    <row r="16" spans="1:5" ht="16.5" thickBot="1" x14ac:dyDescent="0.45">
      <c r="A16" s="36" t="s">
        <v>354</v>
      </c>
      <c r="B16" s="37" t="s">
        <v>142</v>
      </c>
      <c r="C16" s="37" t="s">
        <v>129</v>
      </c>
      <c r="D16" s="50"/>
      <c r="E16" s="37" t="s">
        <v>355</v>
      </c>
    </row>
    <row r="17" spans="1:5" ht="16.5" thickBot="1" x14ac:dyDescent="0.45">
      <c r="A17" s="38" t="s">
        <v>356</v>
      </c>
      <c r="B17" s="39" t="s">
        <v>149</v>
      </c>
      <c r="C17" s="39" t="s">
        <v>129</v>
      </c>
      <c r="D17" s="51"/>
      <c r="E17" s="39" t="s">
        <v>357</v>
      </c>
    </row>
    <row r="18" spans="1:5" ht="16.5" thickBot="1" x14ac:dyDescent="0.45">
      <c r="A18" s="36" t="s">
        <v>358</v>
      </c>
      <c r="B18" s="37" t="s">
        <v>149</v>
      </c>
      <c r="C18" s="37" t="s">
        <v>129</v>
      </c>
      <c r="D18" s="50"/>
      <c r="E18" s="37" t="s">
        <v>359</v>
      </c>
    </row>
    <row r="19" spans="1:5" ht="16.5" thickBot="1" x14ac:dyDescent="0.45">
      <c r="A19" s="38" t="s">
        <v>215</v>
      </c>
      <c r="B19" s="39" t="s">
        <v>120</v>
      </c>
      <c r="C19" s="39" t="s">
        <v>106</v>
      </c>
      <c r="D19" s="39" t="s">
        <v>217</v>
      </c>
      <c r="E19" s="39" t="s">
        <v>360</v>
      </c>
    </row>
    <row r="20" spans="1:5" ht="16.5" thickBot="1" x14ac:dyDescent="0.45">
      <c r="A20" s="36" t="s">
        <v>211</v>
      </c>
      <c r="B20" s="37" t="s">
        <v>125</v>
      </c>
      <c r="C20" s="37" t="s">
        <v>106</v>
      </c>
      <c r="D20" s="37" t="s">
        <v>126</v>
      </c>
      <c r="E20" s="37" t="s">
        <v>361</v>
      </c>
    </row>
    <row r="21" spans="1:5" ht="16.5" thickBot="1" x14ac:dyDescent="0.45">
      <c r="A21" s="38" t="s">
        <v>213</v>
      </c>
      <c r="B21" s="39" t="s">
        <v>125</v>
      </c>
      <c r="C21" s="39" t="s">
        <v>129</v>
      </c>
      <c r="D21" s="51"/>
      <c r="E21" s="39" t="s">
        <v>362</v>
      </c>
    </row>
    <row r="22" spans="1:5" ht="16.5" thickBot="1" x14ac:dyDescent="0.45">
      <c r="A22" s="36" t="s">
        <v>363</v>
      </c>
      <c r="B22" s="37" t="s">
        <v>364</v>
      </c>
      <c r="C22" s="37" t="s">
        <v>129</v>
      </c>
      <c r="D22" s="50"/>
      <c r="E22" s="37" t="s">
        <v>365</v>
      </c>
    </row>
    <row r="23" spans="1:5" ht="16.5" thickBot="1" x14ac:dyDescent="0.45">
      <c r="A23" s="38" t="s">
        <v>227</v>
      </c>
      <c r="B23" s="39" t="s">
        <v>228</v>
      </c>
      <c r="C23" s="39" t="s">
        <v>129</v>
      </c>
      <c r="D23" s="51"/>
      <c r="E23" s="39" t="s">
        <v>366</v>
      </c>
    </row>
    <row r="24" spans="1:5" ht="16.5" thickBot="1" x14ac:dyDescent="0.45">
      <c r="A24" s="36" t="s">
        <v>284</v>
      </c>
      <c r="B24" s="37" t="s">
        <v>142</v>
      </c>
      <c r="C24" s="37" t="s">
        <v>129</v>
      </c>
      <c r="D24" s="50"/>
      <c r="E24" s="37" t="s">
        <v>285</v>
      </c>
    </row>
    <row r="25" spans="1:5" ht="16.5" thickBot="1" x14ac:dyDescent="0.45">
      <c r="A25" s="38" t="s">
        <v>230</v>
      </c>
      <c r="B25" s="39" t="s">
        <v>231</v>
      </c>
      <c r="C25" s="39" t="s">
        <v>129</v>
      </c>
      <c r="D25" s="51"/>
      <c r="E25" s="39" t="s">
        <v>367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B472-0EA6-484B-8A36-1BD046C2416C}">
  <dimension ref="A1:E8"/>
  <sheetViews>
    <sheetView workbookViewId="0"/>
  </sheetViews>
  <sheetFormatPr defaultRowHeight="16" x14ac:dyDescent="0.4"/>
  <cols>
    <col min="1" max="1" width="7.921875" bestFit="1" customWidth="1"/>
    <col min="2" max="2" width="9.61328125" bestFit="1" customWidth="1"/>
    <col min="3" max="3" width="2.84375" bestFit="1" customWidth="1"/>
    <col min="4" max="4" width="10.61328125" bestFit="1" customWidth="1"/>
    <col min="5" max="5" width="25.69140625" bestFit="1" customWidth="1"/>
  </cols>
  <sheetData>
    <row r="1" spans="1:5" x14ac:dyDescent="0.4">
      <c r="A1" s="45" t="s">
        <v>87</v>
      </c>
    </row>
    <row r="2" spans="1:5" ht="16.5" thickBot="1" x14ac:dyDescent="0.45"/>
    <row r="3" spans="1:5" ht="16.5" thickBot="1" x14ac:dyDescent="0.45">
      <c r="A3" s="34" t="s">
        <v>99</v>
      </c>
      <c r="B3" s="35" t="s">
        <v>100</v>
      </c>
      <c r="C3" s="35" t="s">
        <v>101</v>
      </c>
      <c r="D3" s="35" t="s">
        <v>102</v>
      </c>
      <c r="E3" s="35" t="s">
        <v>103</v>
      </c>
    </row>
    <row r="4" spans="1:5" ht="16.5" thickBot="1" x14ac:dyDescent="0.45">
      <c r="A4" s="36" t="s">
        <v>104</v>
      </c>
      <c r="B4" s="37" t="s">
        <v>142</v>
      </c>
      <c r="C4" s="37" t="s">
        <v>106</v>
      </c>
      <c r="D4" s="50"/>
      <c r="E4" s="37" t="s">
        <v>368</v>
      </c>
    </row>
    <row r="5" spans="1:5" ht="16.5" thickBot="1" x14ac:dyDescent="0.45">
      <c r="A5" s="38" t="s">
        <v>196</v>
      </c>
      <c r="B5" s="39" t="s">
        <v>149</v>
      </c>
      <c r="C5" s="39" t="s">
        <v>106</v>
      </c>
      <c r="D5" s="51"/>
      <c r="E5" s="39" t="s">
        <v>369</v>
      </c>
    </row>
    <row r="6" spans="1:5" ht="16.5" thickBot="1" x14ac:dyDescent="0.45">
      <c r="A6" s="36" t="s">
        <v>202</v>
      </c>
      <c r="B6" s="37" t="s">
        <v>116</v>
      </c>
      <c r="C6" s="37" t="s">
        <v>106</v>
      </c>
      <c r="D6" s="50"/>
      <c r="E6" s="37" t="s">
        <v>370</v>
      </c>
    </row>
    <row r="7" spans="1:5" ht="16.5" thickBot="1" x14ac:dyDescent="0.45">
      <c r="A7" s="38" t="s">
        <v>371</v>
      </c>
      <c r="B7" s="39" t="s">
        <v>125</v>
      </c>
      <c r="C7" s="39" t="s">
        <v>106</v>
      </c>
      <c r="D7" s="39" t="s">
        <v>126</v>
      </c>
      <c r="E7" s="39" t="s">
        <v>372</v>
      </c>
    </row>
    <row r="8" spans="1:5" ht="16.5" thickBot="1" x14ac:dyDescent="0.45">
      <c r="A8" s="36" t="s">
        <v>373</v>
      </c>
      <c r="B8" s="37" t="s">
        <v>122</v>
      </c>
      <c r="C8" s="37" t="s">
        <v>106</v>
      </c>
      <c r="D8" s="37"/>
      <c r="E8" s="37" t="s">
        <v>374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222E-6B39-468D-AFA8-A228A830A0D2}">
  <dimension ref="A1:E7"/>
  <sheetViews>
    <sheetView workbookViewId="0">
      <selection activeCell="E11" sqref="E11"/>
    </sheetView>
  </sheetViews>
  <sheetFormatPr defaultRowHeight="16" x14ac:dyDescent="0.4"/>
  <cols>
    <col min="1" max="1" width="6.765625" bestFit="1" customWidth="1"/>
    <col min="2" max="2" width="9.61328125" bestFit="1" customWidth="1"/>
    <col min="3" max="3" width="2.84375" bestFit="1" customWidth="1"/>
    <col min="4" max="4" width="4.69140625" bestFit="1" customWidth="1"/>
    <col min="5" max="5" width="20.61328125" bestFit="1" customWidth="1"/>
  </cols>
  <sheetData>
    <row r="1" spans="1:5" x14ac:dyDescent="0.4">
      <c r="A1" s="45" t="s">
        <v>89</v>
      </c>
    </row>
    <row r="2" spans="1:5" ht="16.5" thickBot="1" x14ac:dyDescent="0.45"/>
    <row r="3" spans="1:5" ht="16.5" thickBot="1" x14ac:dyDescent="0.45">
      <c r="A3" s="34" t="s">
        <v>99</v>
      </c>
      <c r="B3" s="35" t="s">
        <v>100</v>
      </c>
      <c r="C3" s="35" t="s">
        <v>101</v>
      </c>
      <c r="D3" s="35" t="s">
        <v>102</v>
      </c>
      <c r="E3" s="35" t="s">
        <v>103</v>
      </c>
    </row>
    <row r="4" spans="1:5" ht="16.5" thickBot="1" x14ac:dyDescent="0.45">
      <c r="A4" s="36" t="s">
        <v>227</v>
      </c>
      <c r="B4" s="37" t="s">
        <v>228</v>
      </c>
      <c r="C4" s="37" t="s">
        <v>106</v>
      </c>
      <c r="D4" s="50"/>
      <c r="E4" s="37" t="s">
        <v>375</v>
      </c>
    </row>
    <row r="5" spans="1:5" ht="16.5" thickBot="1" x14ac:dyDescent="0.45">
      <c r="A5" s="38" t="s">
        <v>376</v>
      </c>
      <c r="B5" s="39" t="s">
        <v>377</v>
      </c>
      <c r="C5" s="39" t="s">
        <v>106</v>
      </c>
      <c r="D5" s="51"/>
      <c r="E5" s="39" t="s">
        <v>378</v>
      </c>
    </row>
    <row r="6" spans="1:5" ht="16.5" thickBot="1" x14ac:dyDescent="0.45">
      <c r="A6" s="36" t="s">
        <v>103</v>
      </c>
      <c r="B6" s="37" t="s">
        <v>114</v>
      </c>
      <c r="C6" s="37" t="s">
        <v>106</v>
      </c>
      <c r="D6" s="50"/>
      <c r="E6" s="37" t="s">
        <v>379</v>
      </c>
    </row>
    <row r="7" spans="1:5" ht="16.5" thickBot="1" x14ac:dyDescent="0.45">
      <c r="A7" s="38" t="s">
        <v>380</v>
      </c>
      <c r="B7" s="39" t="s">
        <v>118</v>
      </c>
      <c r="C7" s="39" t="s">
        <v>106</v>
      </c>
      <c r="D7" s="39">
        <v>0</v>
      </c>
      <c r="E7" s="39" t="s">
        <v>381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071D-0C47-4D0E-A529-A6251621937A}">
  <dimension ref="A1:D15"/>
  <sheetViews>
    <sheetView topLeftCell="A5" workbookViewId="0">
      <selection activeCell="D15" sqref="D15"/>
    </sheetView>
  </sheetViews>
  <sheetFormatPr defaultRowHeight="16" x14ac:dyDescent="0.4"/>
  <cols>
    <col min="1" max="1" width="20.69140625" bestFit="1" customWidth="1"/>
    <col min="2" max="2" width="19.3828125" bestFit="1" customWidth="1"/>
    <col min="3" max="3" width="35.15234375" customWidth="1"/>
    <col min="4" max="4" width="46" bestFit="1" customWidth="1"/>
  </cols>
  <sheetData>
    <row r="1" spans="1:4" ht="16.5" thickBot="1" x14ac:dyDescent="0.45">
      <c r="A1" s="45" t="s">
        <v>411</v>
      </c>
    </row>
    <row r="2" spans="1:4" ht="16.5" thickBot="1" x14ac:dyDescent="0.45">
      <c r="A2" s="41" t="s">
        <v>382</v>
      </c>
      <c r="B2" s="42" t="s">
        <v>383</v>
      </c>
      <c r="C2" s="42" t="s">
        <v>384</v>
      </c>
    </row>
    <row r="3" spans="1:4" ht="35" thickBot="1" x14ac:dyDescent="0.45">
      <c r="A3" s="43" t="s">
        <v>385</v>
      </c>
      <c r="B3" s="44" t="s">
        <v>386</v>
      </c>
      <c r="C3" s="44" t="s">
        <v>387</v>
      </c>
    </row>
    <row r="4" spans="1:4" ht="58" thickBot="1" x14ac:dyDescent="0.45">
      <c r="A4" s="47" t="s">
        <v>388</v>
      </c>
      <c r="B4" s="48" t="s">
        <v>389</v>
      </c>
      <c r="C4" s="48" t="s">
        <v>390</v>
      </c>
    </row>
    <row r="7" spans="1:4" ht="16.5" thickBot="1" x14ac:dyDescent="0.45">
      <c r="A7" s="45" t="s">
        <v>410</v>
      </c>
    </row>
    <row r="8" spans="1:4" ht="16.5" thickBot="1" x14ac:dyDescent="0.45">
      <c r="A8" s="41" t="s">
        <v>75</v>
      </c>
      <c r="B8" s="42" t="s">
        <v>391</v>
      </c>
      <c r="C8" s="42" t="s">
        <v>392</v>
      </c>
      <c r="D8" s="42" t="s">
        <v>393</v>
      </c>
    </row>
    <row r="9" spans="1:4" ht="23.5" thickBot="1" x14ac:dyDescent="0.45">
      <c r="A9" s="43" t="s">
        <v>394</v>
      </c>
      <c r="B9" s="44" t="s">
        <v>395</v>
      </c>
      <c r="C9" s="44" t="s">
        <v>125</v>
      </c>
      <c r="D9" s="44" t="s">
        <v>412</v>
      </c>
    </row>
    <row r="10" spans="1:4" ht="16.5" thickBot="1" x14ac:dyDescent="0.45">
      <c r="A10" s="47" t="s">
        <v>396</v>
      </c>
      <c r="B10" s="48" t="s">
        <v>395</v>
      </c>
      <c r="C10" s="48" t="s">
        <v>147</v>
      </c>
      <c r="D10" s="48" t="s">
        <v>397</v>
      </c>
    </row>
    <row r="11" spans="1:4" ht="46.5" thickBot="1" x14ac:dyDescent="0.45">
      <c r="A11" s="43" t="s">
        <v>398</v>
      </c>
      <c r="B11" s="44" t="s">
        <v>399</v>
      </c>
      <c r="C11" s="44" t="s">
        <v>400</v>
      </c>
      <c r="D11" s="44" t="s">
        <v>413</v>
      </c>
    </row>
    <row r="12" spans="1:4" ht="23.5" thickBot="1" x14ac:dyDescent="0.45">
      <c r="A12" s="47" t="s">
        <v>401</v>
      </c>
      <c r="B12" s="48" t="s">
        <v>402</v>
      </c>
      <c r="C12" s="48" t="s">
        <v>118</v>
      </c>
      <c r="D12" s="48" t="s">
        <v>417</v>
      </c>
    </row>
    <row r="13" spans="1:4" ht="23.5" thickBot="1" x14ac:dyDescent="0.45">
      <c r="A13" s="43" t="s">
        <v>403</v>
      </c>
      <c r="B13" s="44" t="s">
        <v>404</v>
      </c>
      <c r="C13" s="44" t="s">
        <v>321</v>
      </c>
      <c r="D13" s="44" t="s">
        <v>414</v>
      </c>
    </row>
    <row r="14" spans="1:4" ht="46.5" thickBot="1" x14ac:dyDescent="0.45">
      <c r="A14" s="47" t="s">
        <v>405</v>
      </c>
      <c r="B14" s="48" t="s">
        <v>406</v>
      </c>
      <c r="C14" s="48" t="s">
        <v>114</v>
      </c>
      <c r="D14" s="48" t="s">
        <v>415</v>
      </c>
    </row>
    <row r="15" spans="1:4" ht="16.5" thickBot="1" x14ac:dyDescent="0.45">
      <c r="A15" s="43" t="s">
        <v>407</v>
      </c>
      <c r="B15" s="44" t="s">
        <v>408</v>
      </c>
      <c r="C15" s="44" t="s">
        <v>409</v>
      </c>
      <c r="D15" s="44" t="s">
        <v>416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Timeline</vt:lpstr>
      <vt:lpstr>List Table</vt:lpstr>
      <vt:lpstr>RetentionConfig</vt:lpstr>
      <vt:lpstr>RetentionTableStatus</vt:lpstr>
      <vt:lpstr>RetentionParameter</vt:lpstr>
      <vt:lpstr>RetentionRunLog</vt:lpstr>
      <vt:lpstr>RetentionTableLog</vt:lpstr>
      <vt:lpstr>RetentionArchiveDate</vt:lpstr>
      <vt:lpstr>RetentionStepLog</vt:lpstr>
      <vt:lpstr>RetentionTableLock</vt:lpstr>
      <vt:lpstr>RetentionErrorCode</vt:lpstr>
      <vt:lpstr>Trigger and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Wildan, Muhammad</dc:creator>
  <cp:lastModifiedBy>Wildan, Muhammad</cp:lastModifiedBy>
  <dcterms:created xsi:type="dcterms:W3CDTF">2025-04-06T14:08:36Z</dcterms:created>
  <dcterms:modified xsi:type="dcterms:W3CDTF">2026-10-29T14:05:37Z</dcterms:modified>
</cp:coreProperties>
</file>